
<file path=[Content_Types].xml><?xml version="1.0" encoding="utf-8"?>
<Types xmlns="http://schemas.openxmlformats.org/package/2006/content-types">
  <Default Extension="bin" ContentType="application/vnd.ms-office.activeX"/>
  <Default Extension="emf" ContentType="image/x-emf"/>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tables/table1.xml" ContentType="application/vnd.openxmlformats-officedocument.spreadsheetml.table+xml"/>
  <Override PartName="/xl/drawings/drawing1.xml" ContentType="application/vnd.openxmlformats-officedocument.drawing+xml"/>
  <Override PartName="/xl/activeX/activeX1.xml" ContentType="application/vnd.ms-office.activeX+xml"/>
  <Override PartName="/xl/tables/table2.xml" ContentType="application/vnd.openxmlformats-officedocument.spreadsheetml.table+xml"/>
  <Override PartName="/xl/tables/table3.xml" ContentType="application/vnd.openxmlformats-officedocument.spreadsheetml.table+xml"/>
  <Override PartName="/xl/tables/table4.xml" ContentType="application/vnd.openxmlformats-officedocument.spreadsheetml.table+xml"/>
  <Override PartName="/xl/tables/table5.xml" ContentType="application/vnd.openxmlformats-officedocument.spreadsheetml.table+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7029" codeName="{E757BCB4-07E6-AE0B-56E0-F0EEF7A6E26C}"/>
  <workbookPr codeName="ThisWorkbook" defaultThemeVersion="166925"/>
  <mc:AlternateContent xmlns:mc="http://schemas.openxmlformats.org/markup-compatibility/2006">
    <mc:Choice Requires="x15">
      <x15ac:absPath xmlns:x15ac="http://schemas.microsoft.com/office/spreadsheetml/2010/11/ac" url="C:\Users\USER\Documents\Development\Power BI\Data\"/>
    </mc:Choice>
  </mc:AlternateContent>
  <xr:revisionPtr revIDLastSave="0" documentId="13_ncr:1_{3DB95A3C-73A0-48B5-B468-C784528FF413}" xr6:coauthVersionLast="47" xr6:coauthVersionMax="47" xr10:uidLastSave="{00000000-0000-0000-0000-000000000000}"/>
  <bookViews>
    <workbookView xWindow="-60" yWindow="-16320" windowWidth="29040" windowHeight="15840" activeTab="1" xr2:uid="{418EEDAA-802E-4260-9376-B2BDDB60C514}"/>
  </bookViews>
  <sheets>
    <sheet name="Entity" sheetId="1" r:id="rId1"/>
    <sheet name="Layout" sheetId="4" r:id="rId2"/>
    <sheet name="Narrative" sheetId="2" r:id="rId3"/>
    <sheet name="Related Tables" sheetId="3" r:id="rId4"/>
  </sheets>
  <calcPr calcId="191029" concurrentCalc="0"/>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D3" i="4" l="1"/>
  <c r="D4" i="4"/>
  <c r="D5" i="4"/>
  <c r="D6" i="4"/>
  <c r="D7" i="4"/>
  <c r="D8" i="4"/>
  <c r="D9" i="4"/>
  <c r="D10" i="4"/>
  <c r="D11" i="4"/>
  <c r="D12" i="4"/>
  <c r="D13" i="4"/>
  <c r="D14" i="4"/>
  <c r="D15" i="4"/>
  <c r="D16" i="4"/>
  <c r="D17" i="4"/>
  <c r="D18" i="4"/>
  <c r="D19" i="4"/>
  <c r="D20" i="4"/>
  <c r="D21" i="4"/>
  <c r="D22" i="4"/>
  <c r="D23" i="4"/>
  <c r="D24" i="4"/>
  <c r="D25" i="4"/>
  <c r="D26" i="4"/>
  <c r="D27" i="4"/>
  <c r="D28" i="4"/>
  <c r="D29" i="4"/>
  <c r="D30" i="4"/>
  <c r="D31" i="4"/>
  <c r="D32" i="4"/>
  <c r="D33" i="4"/>
  <c r="D34" i="4"/>
  <c r="D35" i="4"/>
  <c r="D36" i="4"/>
  <c r="D37" i="4"/>
  <c r="D38" i="4"/>
  <c r="D39" i="4"/>
  <c r="D40" i="4"/>
  <c r="D41" i="4"/>
  <c r="F18" i="2"/>
  <c r="F19" i="2"/>
  <c r="F4" i="2"/>
  <c r="F5" i="2"/>
  <c r="F6" i="2"/>
  <c r="F7" i="2"/>
  <c r="F8" i="2"/>
  <c r="F9" i="2"/>
  <c r="F10" i="2"/>
  <c r="F11" i="2"/>
  <c r="F12" i="2"/>
  <c r="F13" i="2"/>
  <c r="F14" i="2"/>
  <c r="F15" i="2"/>
  <c r="F16" i="2"/>
  <c r="F17" i="2"/>
  <c r="F20" i="2"/>
  <c r="F21" i="2"/>
  <c r="F22" i="2"/>
  <c r="F23" i="2"/>
  <c r="F24" i="2"/>
  <c r="F25" i="2"/>
  <c r="F26" i="2"/>
  <c r="F27" i="2"/>
  <c r="F28" i="2"/>
  <c r="F29" i="2"/>
  <c r="F30" i="2"/>
  <c r="F31" i="2"/>
  <c r="F32" i="2"/>
  <c r="F33" i="2"/>
  <c r="F34" i="2"/>
  <c r="F35" i="2"/>
  <c r="F36" i="2"/>
  <c r="F37" i="2"/>
  <c r="F38" i="2"/>
  <c r="F39" i="2"/>
  <c r="F40" i="2"/>
  <c r="F41" i="2"/>
  <c r="F42" i="2"/>
</calcChain>
</file>

<file path=xl/sharedStrings.xml><?xml version="1.0" encoding="utf-8"?>
<sst xmlns="http://schemas.openxmlformats.org/spreadsheetml/2006/main" count="210" uniqueCount="126">
  <si>
    <t>Root</t>
  </si>
  <si>
    <t>Australia</t>
  </si>
  <si>
    <t>Canada</t>
  </si>
  <si>
    <t>Entity</t>
  </si>
  <si>
    <t>Code</t>
  </si>
  <si>
    <t>Parent Code</t>
  </si>
  <si>
    <t>NSW</t>
  </si>
  <si>
    <t>ACT</t>
  </si>
  <si>
    <t>NT</t>
  </si>
  <si>
    <t>WA</t>
  </si>
  <si>
    <t>TAS</t>
  </si>
  <si>
    <t>QLD</t>
  </si>
  <si>
    <t>SA</t>
  </si>
  <si>
    <t>Ontario</t>
  </si>
  <si>
    <t>Quebec</t>
  </si>
  <si>
    <t>Nova Scotia</t>
  </si>
  <si>
    <t>New Brunswick</t>
  </si>
  <si>
    <t>Manitoba</t>
  </si>
  <si>
    <t>British Columbia</t>
  </si>
  <si>
    <t>Prince Edward Island</t>
  </si>
  <si>
    <t>Saskatchewan</t>
  </si>
  <si>
    <t>Alberta</t>
  </si>
  <si>
    <t>Newfoundland and Labrador</t>
  </si>
  <si>
    <t>St. John's</t>
  </si>
  <si>
    <t>Toronto</t>
  </si>
  <si>
    <t>Quebec City</t>
  </si>
  <si>
    <t>Halifax</t>
  </si>
  <si>
    <t>Fredricton</t>
  </si>
  <si>
    <t>Winnipeg</t>
  </si>
  <si>
    <t>Victoria</t>
  </si>
  <si>
    <t>Charlottetown</t>
  </si>
  <si>
    <t>Regina</t>
  </si>
  <si>
    <t>Edmonton</t>
  </si>
  <si>
    <t>Canberra</t>
  </si>
  <si>
    <t>Sydney</t>
  </si>
  <si>
    <t>Darwin</t>
  </si>
  <si>
    <t>Brisbane</t>
  </si>
  <si>
    <t>Adelaide</t>
  </si>
  <si>
    <t>Hobart</t>
  </si>
  <si>
    <t>Perth</t>
  </si>
  <si>
    <t>Narrative</t>
  </si>
  <si>
    <t xml:space="preserve">Founded in 1882, Regina is 100 miles north of the U.S. border. The area's first inhabitants were the Plains Cree and the Plains Ojibwa. The flat, grassy plain was home to herds of buffalo hunted to near extinction by European fur traders. 
Regina was incorporated as a city in 1903. When Saskatchewan became a province in 1905, Regina was named its capital. It has seen slow but steady growth since World War II and remains a major agricultural center. </t>
  </si>
  <si>
    <t>The nation's capital is Ottawa, which was incorporated in 1855 and gets its name from the Algonquin word for "trade." Ottawa's archaeological sites reveal an indigenous population that lived there for centuries before Europeans arrived.
Canada has 10 provinces and three territories, each with their own capitals. Here are quick facts about the history and lifestyle of Canada's provincial and territorial capital cities.</t>
  </si>
  <si>
    <t xml:space="preserve">Edmonton is the northernmost of Canada’s large cities and is frequently called "The Gateway to the North," reflecting its road, rail, and air transportation links. Indigenous people inhabited the Edmonton area for centuries before Europeans came. It’s believed that one of the first Europeans to explore the area was Anthony Henday, who visited in 1754 on behalf of the Hudson’s Bay Co.
The Canadian Pacific Railway, which reached Edmonton in 1885, was a boon to its economy, bringing new arrivals from Canada, the United States, and Europe. Edmonton was incorporated as a town in 1892 and a city in 1904, becoming the capital of the new province of Alberta a year later. Edmonton has a wide range of cultural, sporting, and tourist attractions, and hosts more than two dozen festivals annually. </t>
  </si>
  <si>
    <t xml:space="preserve">Named after the English queen, Victoria is today considered a business hub. Its role as the gateway to the Pacific Rim, its proximity to American markets, and its many sea and air links make it a bustling site of commerce. With the mildest climate in Canada, Victoria is known for its large retiree population.
Before Europeans reached western Canada in the 1700s, Victoria was inhabited by indigenous Coast Salish people and the native Songhees, who maintain a large presence in the area. Downtown Victoria focuses on the inner harbor, which features the parliament buildings and the historic Fairmont Empress Hotel. Victoria also is home to the University of Victoria and Royal Roads University. </t>
  </si>
  <si>
    <t xml:space="preserve">Located at the geographical center of Canada, Winnipeg’s name is a Cree word meaning “muddy water.” Indigenous people inhabited Winnipeg well before French explorers arrived in 1738. Named for nearby Lake Winnipeg, the city is at the bottom of the Red River Valley, which creates humidity during the summer.
The arrival of the Canadian Pacific Railway in 1881 increased development in Winnipeg. It remains a transportation hub, with extensive rail and air links. Nearly equidistant from the Atlantic and Pacific oceans, it's considered the center of Canada's Prairie Provinces. This multicultural city, where more than 100 languages are spoken, is home to the Royal Winnipeg Ballet and the Winnipeg Art Gallery, which houses the world's largest collection of Inuit art. </t>
  </si>
  <si>
    <t>Fredericton is on the St. John River within a day's drive of Halifax, Toronto, and New York City. Before Europeans arrived, the Welastekwewiyik (or Maliseet) people had inhabited the area for centuries.
The first Europeans to arrive were the French, in the late 1600s. The area was known as St. Anne's Point and was captured by the British during the French and Indian War in 1759. New Brunswick became its own colony in 1784; Fredericton became the provincial capital a year later.
Fredericton is a center for research in agriculture, forestry, and engineering, much stemming from the University of New Brunswick  and St. Thomas University.</t>
  </si>
  <si>
    <t>Although the origin of its name is mysterious, St. John's is Canada's oldest settlement, dating to 1630. It sits on a deep-water harbor connected by the Narrows, a long inlet to the Atlantic Ocean. A major site for fishing, St. John's economy was depressed by the collapse of cod fisheries in the early 1990s but has rebounded with petrodollars from offshore oil projects
The French and English battled over St. John's during the 17th and 18th centuries, with the final battle of the French and Indian War won by the British in 1762. Although its colonial government was established in 1888, St. John's wasn't incorporated as a city until 1921.</t>
  </si>
  <si>
    <t>The largest urban area in the Atlantic provinces, Halifax has one of the world's largest natural harbors. Incorporated as a city in 1841, Halifax has been inhabited by humans since the Ice Age, with Mi'kmaq people living in the area for 3,000 years before European exploration.
Halifax was the site of one of the worst explosions in Canada's history in 1917, when a munitions ship collided with another ship in the harbor. The blast, which leveled part of the city, caused 2,000 deaths and 9,000 injuries. Halifax is home to the Nova Scotia Museum of Natural History and several universities, including Saint Mary’s and the University of King’s College.</t>
  </si>
  <si>
    <t>Canada's largest city and the fourth largest in North America, Toronto, Ontario is a cultural, entertainment, business, and financial hub with 3 million residents plus 2 million in the metro area. Aboriginal people have been in the area for thousands of years. Until the arrival of Europeans in the 1600s, the area was a hub for the Iroquois and Wendat-Huron confederacies of native Canadians.
During the Revolutionary War in the American colonies, many British settlers fled to the area. In 1793, the town of York was established; it was captured by Americans in the War of 1812. The area was renamed Toronto and incorporated as a city in 1834.
Toronto was hard hit by the Great Depression, but its economy rebounded during World War II as immigrants arrived. The city boasts the Royal Ontario Museum, the Ontario Science Centre, and the Museum of Inuit Art and three major professional sports teams: the Maple Leafs (hockey), the Blue Jays (baseball), and the Raptors (basketball).</t>
  </si>
  <si>
    <t xml:space="preserve">Charlottetown is the capital of Canada's smallest province, Prince Edward Island. Aboriginal people inhabited Prince Edward Island for 10,000 years before Europeans arrived. By 1758, the British were largely in control of the region.
During the 19th century, shipbuilding became a major industry in Charlottetown. Charlottetown's biggest industry is tourism, with its historic architecture and scenic Charlottetown Harbour attracting visitors from all over the world. </t>
  </si>
  <si>
    <t xml:space="preserve">The Quebec City area was occupied by aboriginal people for thousands of years before Europeans arrived in 1535. Permanent French settlement wasn't established until 1608 when Samuel de Champlain established a trading post there. It was captured by the British in 1759. 
Its location along the St. Lawrence River made Quebec City a major trade hub well into the 20th century. Quebec City remains a center for French-Canadian culture, rivaled only by Montreal. </t>
  </si>
  <si>
    <t>British Columbia is the country's most western province. Bordered by the Pacific Ocean, B.C., as it is more commonly known, has some of the most temperate locations in the country. With coastal islands and a mountainous interior, B.C.'s diverse geography draws adventure seekers worldwide, including skiers, kayakers, and mountain bikers.
The major cities and towns are Victoria (provincial capital), Vancouver, Whistler, and Kelowna. Vancouver is a vibrant cosmopolitan city, Victoria is a quaint town with horse-drawn carriages and the elegant Fairmont Empress Hotel, and Whistler is home to winter sports.
Outdoor B.C. is well-known for the Okanagan Valley wine region, the remote and beautiful islands of Haida Gwaii, and whale watching in the Inside Passage.</t>
  </si>
  <si>
    <t xml:space="preserve">Alberta is one of Canada's three prairie provinces. It shares the Canadian Rocky Mountain range with its western B.C. neighbor and is famous as a ski and hiking destination. Alberta is the primary supply and service hub for Canada's crude oil industry, Athabasca oil sands, and other northern resource industries. 
Alberta is famous for hosting the Calgary Stampede, which showcases the province's distinct cowboy culture, and is also known for the Edmonton Folk Festival, the Edmonton Mall, the Rocky Mountains, and the Head-Smashed-In Buffalo Jump, a UNESCO-designated World Heritage Site that preserves and interprets over 6,000 years of Plains Buffalo culture.
Alberta's major cities are Edmonton (provincial capital), Calgary, Banff, and Jasper.​ Banff and Jasper are home to two of the most beautiful national parks in North America. </t>
  </si>
  <si>
    <t>Saskatchewan is the central prairie province, landlocked between the other two, Alberta and Manitoba. Most of Saskatchewan's population lives in the southern half of the region, especially in Saskatoon and Regina. The province's primary industry is agriculture, followed by mining, oil, and natural gas production. 
The major cities are Regina (provincial capital), Saskatoon, and Prince Albert. Saskatchewan is best known for fishing, hunting, and other outdoor adventures. The University of Saskatchewan's historic campus in Saskatoon is recognized as one of the most beautiful in Canada.</t>
  </si>
  <si>
    <t>Manitoba is the most easterly prairie province and longitudinal center of Canada. Like Saskatchewan, a majority of the population lives in the southern region. Manitoba's north comprises Canadian Shield rock and arctic tundra and is largely uninhabited. For more than 6,000 years, the province has been home to Aboriginal and Métis people, who continue to exert a tremendous cultural influence.
The major cities are Winnipeg (provincial capital) and Churchill. Manitoba is best known for being the polar bear capital of the world ​and for its two festivals—Le Festival du Voyageur (large winter festival) and Folklorama (food and cultural festival).
Churchill is one of the top three places to observe the aurora borealis, also known as the Northern Lights.</t>
  </si>
  <si>
    <t>Ontario is Canada's most populous province, by a long shot. It is also home to the federal capital of Ottawa and the unofficial financial capital of Toronto. The majority of Ontario residents live in the southern part of the province near Toronto, along with Ottawa, Niagara Falls, and Niagara-on-the-Lake.
Ontario is best known for Algonquin Park, the Niagara wine region, Bruce Trail (the oldest and longest continuous public footpath in Canada), and the many beautiful forests and lakes.
Canada's National Tower (CN Tower) defines the Toronto skyline at more than 1,800 feet tall. This engineering marvel is one of the world's top destinations. You can go to the observation deck at the top and dine with a 360-degree view.</t>
  </si>
  <si>
    <t xml:space="preserve">Quebec is the second most populous Canadian province, known primarily for its French-speaking population, culture, and heritage. It is also the country's largest province by land area. Most residents live along and near the St. Lawrence River, especially in and between Montreal and Quebec City, the two major cities.
Attractions for residents and visitors are ​Old Montreal and the Plains of Abraham (a historic area) and excellent skiing resorts. Old Québec, a UNESCO World Heritage treasure, is reminiscent of towns in Europe with a city wall and cobblestone streets. </t>
  </si>
  <si>
    <t>New Brunswick is one of Canada's three Maritime provinces, which form a tiny water-bound cluster on the east coast, just below Quebec and bordering the state of Maine in the U.S. The major cities are Fredericton (provincial capital), Moncton, and St. John. New Brunswick's appeal is due to the Bay of Fundy, Appalachian Range, scenic coastline, and numerous lighthouses.</t>
  </si>
  <si>
    <t>Although the second smallest province, Nova Scotia is the second-most densely populated in the country. It is one of the three maritime provinces and part of Atlantic Canada.
The major cities are Halifax (provincial capital), Sydney, Wolfville, and Peggy's Cove. People come to Nova Scotia to experience the Cabot Trail and other scenic drives.
Nova Scotia is known for Celtic culture, the Fortress of Louisbourg, a National Historic Site, and the location of a partial reconstruction of an 18th-century French fortress, and seafood like fresh lobster dinners.
Those coming for the natural beauty will appreciate the vast coastline, home to puffins and seals, and the Annapolis Valley wine country, located on the western part of the peninsula.</t>
  </si>
  <si>
    <t>The last of the three Maritime provinces, Prince Edward Island, comprises several islands (232 to be exact, including the main island), the largest having the same name.
It is the smallest province in Canada, measured by land size and population. Its principal city is Charlottetown (provincial capital), and P.E.I. (as it is referred to) is best known for the novel Anne of Green Gables, which takes place there and the delicious mussels found in the surrounding waters.</t>
  </si>
  <si>
    <t>The most easterly province in Canada, Newfoundland and Labrador sits on the Atlantic and comprises Newfoundland and mainland Labrador (hence the name).
Over 90 percent of the population lives in Newfoundland and the surrounding islands. Its principal city is St. John's (provincial capital), and the province is best known for the friendliness of the residents, Gros Morne National Park (known for soaring glacial fjords), icebergs, and whale watching.</t>
  </si>
  <si>
    <t>New South Wales (NSW) beckons with indulgent wine regions, pristine seaside villages and mountain wilderness. Settled on the shores of Port Jackson is the bustling capital of Sydney, the nation's biggest city. New South Wales is the ultimate all-rounder destination, with the Sapphire Coast to the south, the Central Coast to the north and the Blue Mountains to the West. There’s something for everyone here: thrill-seekers, easy-going beach lovers, wine connoisseurs and families alike.</t>
  </si>
  <si>
    <t>At the top end of Australia lies the Northern Territory (NT), home to capital city, Darwin. The NT takes ‘the outback’ to a whole new level with some of the country's premier national parks – Kakadu National Park, King’s Canyon, and Litchfield National Park – though, there’s perhaps nowhere as iconic as the phenomenal Uluru.The Northern Territory is a must-do for those wishing to see quintessential Australia – sublime landscapes, emblematic wildlife and authentic Aboriginal culture.</t>
  </si>
  <si>
    <t>Queensland (QLD) is known to Australians as the ‘Sunshine State’. The subtropical stretch of land on the northeast of Australia is home to the World Heritage-listed Great Barrier Reef, the ancient Daintree Rainforest and the beautiful Whitsunday Islands. Queensland is the sun-loving, beach-going traveller’s paradise. The state’s capital is Brisbane (or Brissie), and it enjoys more winter sunshine and warmth than just about anywhere else in the country, making it perfect for outdoor activities and water sports.</t>
  </si>
  <si>
    <t>South Australia (SA) lounges at the bottom of the central part of the country, and is one of the most laid-back destinations to visit – perfect for a relaxing getaway. The state’s capital, Adelaide, is a great base for exploring the Barossa Valley wineries, the Flinders Ranges and Kangaroo Island. SA is also home to a thriving arts scene and is known as the ‘Festival State’, with more than 500 events and festivals taking place each year.</t>
  </si>
  <si>
    <t>Tasmania (TAS), separated from mainland Australia by the Bass Strait, is the island state that’s a microcosm of our island nation. ‘Tassie’ pretty much has it all – dazzling beaches, rugged mountains and gorging rivers winding through one of the most picturesque places on the planet. Its stunning landscapes and vast wilderness make for some of the most breathtaking walks and hikes on the continent. The capital, Hobart, is a beautiful cosmopolitan city in close range to quaint regional towns, exquisite food and wine trails and tons of great family activities.</t>
  </si>
  <si>
    <t>VIC</t>
  </si>
  <si>
    <t>Victoria (VIC) is the thriving heart of all things culture in Australia, centred in the state’s capital, Melbourne. The city has been the recipient of the ‘Most Liveable City in the World’ title multiple times, owing to its cultural diversity, modern cityscape and friendly atmosphere. Victoria has so much to offer visitors, from incredible museums and galleries to the majestic Grampians National Park, and the Heritage-listed Great Ocean Road.</t>
  </si>
  <si>
    <t>Melbourne</t>
  </si>
  <si>
    <t>Western Australia (WA) is the largest state, situated on – you guessed it – the west coast of the country. Owing to the vastness of this massive state there is something for everyone here, including the dramatic Kimberley Region, the idyllic Rottnest Island (home to the selfie-loving quokka) and the premium wine and surf region of Margaret River. The capital, Perth, is famed for its serene, uncrowded beaches, parklands and fresh seafood.</t>
  </si>
  <si>
    <t>Monuments and museums, glistening lakes and wild wetlands, the Australian Capital Territory (ACT) blends the best of nature and culture. Home to the nation’s capital, Canberra, the ACT is renowned for its cosmopolitan atmosphere and cool, new edge. The state boasts some of Australia’s most important national institutions, including the National Gallery of Australia, the National Museum of Australia and Parliament House. Not to mention, there’s a flourishing restaurant scene, a stunning wine region, and an impressive array of parks and gardens.</t>
  </si>
  <si>
    <t>No matter where you go in Australia, you’re sure to have an amazing time. We’re home to eight states and territories – each one with its own unique mix of environments, cultures and rhythms. From rolling deserts and quaint capitals to lush rainforests and sun-soaked cities, you’re going to want to visit them all.</t>
  </si>
  <si>
    <t>A city of iconic attractions and brilliant beaches, Sydney is a destination you'll never forget.
Sydney is home to must-visit icons like the Sydney Harbour Bridge and Opera House, but this Harbour City is constantly evolving. New rooftop bars, theatre shows and designer shops pop up at every turn, and the urban excitement is perfectly balanced by afternoons spent lying on the sand. Plus, with diverse destinations at its doorstep, Sydney is the perfect base for day trips and weekends away.</t>
  </si>
  <si>
    <t>With everything from Asian food markets and crocodile encounters to open-air movies and sunset cruises, Darwin is as easy going as it is exciting.
If balmy nights, colourful characters and outdoor adventures are on your bucket list, you'll want to visit Darwin, located in the Northern Territory. Along with its crocodiles and cruises, you'll find rich Aboriginal cultures here, evident through the vibrant Aboriginal art that fills the city's galleries, museums and streetscapes. The city's proximity to Asia means you'll also find strong Asian influences, especially in the energetic food scene and buzzing night markets.</t>
  </si>
  <si>
    <t>Queensland’s sunny capital offers up laidback charm and urban energy with a dash of adventure.
Brisbane is a city that lives up to its sunny potential with a strong focus on the outdoors – think al fresco dining, picnics by the river, islands just off the coast and national parks. Add to this a dynamic cultural precinct, abundant wildlife and easy access to nearby icons like the Gold Coast and Great Barrier Reef, and you’ve got a destination you can’t say no to.</t>
  </si>
  <si>
    <t>Colourful cultural events, a thriving restaurant and small bar scene and fine wine make Adelaide your next must-visit destination.
The bustling city of Adelaide is brimming with events that excite, restaurants that inspire and beaches that make you feel at ease. What’s more, Adelaide sits right at the foot of three incredible wine regions that produce both world-renowned and under-the-radar wines. So when you visit, make sure you leave enough time to experience the city and explore its stunning surrounds.</t>
  </si>
  <si>
    <t>In Hobart, you can see world-renowned art, eat freshly caught seafood and climb a mountain all in one day.
The Tasmanian capital of Hobart is a dynamic city that surpasses expectations at every turn. Australia’s southernmost capital is brimming with history and bursting with creativity (hello MONA). It boasts an incredible food and wine scene with local produce making the short journey from farm to table, and is fringed by scenic wilderness.</t>
  </si>
  <si>
    <t>Melbourne is Australia's mecca for all things trendy and tasty. The city offers up exquisite dining, exhilarating sport and abundant opportunities to experience art.
A perfect blend of rich cultural history and new age trends is waiting for you in Melbourne. As the sun goes down, the city comes to life with a vibrant dining scene as well as events and exhibitions. Explore its bustling laneways, trendy neighbourhoods and sophisticated foodie scene to get a taste of what Melbourne is all about.</t>
  </si>
  <si>
    <t>Embrace the best of both worlds in Perth, where soft-sand beaches and scenic parks meet a thriving metropolis of small bars, creative restaurants and curated street art.
Australia's urban oasis of Perth is nestled within the vast nature of Western Australia – and that's why the locals love it! Here, not only can you relax on the serene white-sand beaches, but you can immerse yourself in the bustling art galleries, historic neighbourhoods and epic events. Just outside of Perth, you can find idyllic local wineries and unique wildlife.</t>
  </si>
  <si>
    <t>Find a mix of history, art and the outdoors in Australia's capital city.
The small-yet-mighty capital of Canberra is a city that punches far above its weight. Well-known museums and historical sites are just the beginning. Dig a little deeper to find bustling brewpubs, hidden gems, quiet nature and family-friendly attractions. Head just outside the city to relax and unwind in a scenic cool-climate wine region that produces some stellar drops.</t>
  </si>
  <si>
    <t>Fiscal Year</t>
  </si>
  <si>
    <t>Period</t>
  </si>
  <si>
    <t>2022-23</t>
  </si>
  <si>
    <t>2023-24</t>
  </si>
  <si>
    <t>This file provides some information sourced from various websutes summarising some details about major states and territories, and cities in Australia and Canada.</t>
  </si>
  <si>
    <t>Level</t>
  </si>
  <si>
    <t>Subject</t>
  </si>
  <si>
    <t xml:space="preserve">     Australia</t>
  </si>
  <si>
    <t xml:space="preserve">          ACT</t>
  </si>
  <si>
    <t xml:space="preserve">               Canberra</t>
  </si>
  <si>
    <t xml:space="preserve">          NSW</t>
  </si>
  <si>
    <t xml:space="preserve">               Sydney</t>
  </si>
  <si>
    <t xml:space="preserve">          NT</t>
  </si>
  <si>
    <t xml:space="preserve">               Darwin</t>
  </si>
  <si>
    <t xml:space="preserve">          QLD</t>
  </si>
  <si>
    <t xml:space="preserve">               Brisbane</t>
  </si>
  <si>
    <t xml:space="preserve">          SA</t>
  </si>
  <si>
    <t xml:space="preserve">               Adelaide</t>
  </si>
  <si>
    <t xml:space="preserve">          TAS</t>
  </si>
  <si>
    <t xml:space="preserve">               Hobart</t>
  </si>
  <si>
    <t xml:space="preserve">          VIC</t>
  </si>
  <si>
    <t xml:space="preserve">               Melbourne</t>
  </si>
  <si>
    <t xml:space="preserve">          WA</t>
  </si>
  <si>
    <t xml:space="preserve">               Perth</t>
  </si>
  <si>
    <t xml:space="preserve">     Canada</t>
  </si>
  <si>
    <t xml:space="preserve">          Ontario</t>
  </si>
  <si>
    <t xml:space="preserve">               Toronto</t>
  </si>
  <si>
    <t xml:space="preserve">          Quebec</t>
  </si>
  <si>
    <t xml:space="preserve">               Quebec City</t>
  </si>
  <si>
    <t xml:space="preserve">          Nova Scotia</t>
  </si>
  <si>
    <t xml:space="preserve">               Halifax</t>
  </si>
  <si>
    <t xml:space="preserve">          New Brunswick</t>
  </si>
  <si>
    <t xml:space="preserve">               Fredricton</t>
  </si>
  <si>
    <t xml:space="preserve">          Manitoba</t>
  </si>
  <si>
    <t xml:space="preserve">               Winnipeg</t>
  </si>
  <si>
    <t xml:space="preserve">          British Columbia</t>
  </si>
  <si>
    <t xml:space="preserve">               Victoria</t>
  </si>
  <si>
    <t xml:space="preserve">          Prince Edward Island</t>
  </si>
  <si>
    <t xml:space="preserve">               Charlottetown</t>
  </si>
  <si>
    <t xml:space="preserve">          Saskatchewan</t>
  </si>
  <si>
    <t xml:space="preserve">               Regina</t>
  </si>
  <si>
    <t xml:space="preserve">          Alberta</t>
  </si>
  <si>
    <t xml:space="preserve">               Edmonton</t>
  </si>
  <si>
    <t xml:space="preserve">          Newfoundland and Labrador</t>
  </si>
  <si>
    <t xml:space="preserve">               St. John's</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</si>
</sst>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fonts count="2" x14ac:knownFonts="1">
    <font>
      <sz val="11"/>
      <color theme="1"/>
      <name val="Calibri"/>
      <family val="2"/>
      <scheme val="minor"/>
    </font>
    <font>
      <sz val="8"/>
      <name val="Calibri"/>
      <family val="2"/>
      <scheme val="minor"/>
    </font>
  </fonts>
  <fills count="2">
    <fill>
      <patternFill patternType="none"/>
    </fill>
    <fill>
      <patternFill patternType="gray125"/>
    </fill>
  </fills>
  <borders count="1">
    <border>
      <left/>
      <right/>
      <top/>
      <bottom/>
      <diagonal/>
    </border>
  </borders>
  <cellStyleXfs count="1">
    <xf numFmtId="0" fontId="0" fillId="0" borderId="0"/>
  </cellStyleXfs>
  <cellXfs count="3">
    <xf numFmtId="0" fontId="0" fillId="0" borderId="0" xfId="0"/>
    <xf numFmtId="0" fontId="0" fillId="0" borderId="0" xfId="0" applyAlignment="1">
      <alignment vertical="top"/>
    </xf>
    <xf numFmtId="0" fontId="0" fillId="0" borderId="0" xfId="0" applyAlignment="1">
      <alignment vertical="top" wrapText="1"/>
    </xf>
  </cellXfs>
  <cellStyles count="1">
    <cellStyle name="Normal" xfId="0" builtinId="0"/>
  </cellStyles>
  <dxfs count="11">
    <dxf>
      <numFmt numFmtId="0" formatCode="General"/>
    </dxf>
    <dxf>
      <numFmt numFmtId="0" formatCode="General"/>
      <alignment horizontal="general" vertical="top" textRotation="0" indent="0" justifyLastLine="0" shrinkToFit="0" readingOrder="0"/>
    </dxf>
    <dxf>
      <alignment horizontal="general" vertical="top" textRotation="0" wrapText="1" indent="0" justifyLastLine="0" shrinkToFit="0" readingOrder="0"/>
    </dxf>
    <dxf>
      <alignment horizontal="general" vertical="top" textRotation="0" wrapText="0" indent="0" justifyLastLine="0" shrinkToFit="0" readingOrder="0"/>
    </dxf>
    <dxf>
      <alignment horizontal="general" vertical="top" textRotation="0" wrapText="0" indent="0" justifyLastLine="0" shrinkToFit="0" readingOrder="0"/>
    </dxf>
    <dxf>
      <alignment horizontal="general" vertical="top" textRotation="0" indent="0" justifyLastLine="0" shrinkToFit="0" readingOrder="0"/>
    </dxf>
    <dxf>
      <alignment horizontal="general" vertical="top" textRotation="0" indent="0" justifyLastLine="0" shrinkToFit="0" readingOrder="0"/>
    </dxf>
    <dxf>
      <alignment horizontal="general" vertical="top" textRotation="0" indent="0" justifyLastLine="0" shrinkToFit="0" readingOrder="0"/>
    </dxf>
    <dxf>
      <alignment horizontal="general" vertical="top" textRotation="0" indent="0" justifyLastLine="0" shrinkToFit="0" readingOrder="0"/>
    </dxf>
    <dxf>
      <alignment horizontal="general" vertical="top" textRotation="0" indent="0" justifyLastLine="0" shrinkToFit="0" readingOrder="0"/>
    </dxf>
    <dxf>
      <alignment horizontal="general" vertical="top" textRotation="0" indent="0" justifyLastLine="0" shrinkToFit="0" readingOrder="0"/>
    </dxf>
  </dxfs>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calcChain" Target="calcChain.xml"/><Relationship Id="rId3" Type="http://schemas.openxmlformats.org/officeDocument/2006/relationships/worksheet" Target="worksheets/sheet3.xml"/><Relationship Id="rId7" Type="http://schemas.openxmlformats.org/officeDocument/2006/relationships/sharedStrings" Target="sharedStrings.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styles" Target="styles.xml"/><Relationship Id="rId5" Type="http://schemas.openxmlformats.org/officeDocument/2006/relationships/theme" Target="theme/theme1.xml"/><Relationship Id="rId4" Type="http://schemas.openxmlformats.org/officeDocument/2006/relationships/worksheet" Target="worksheets/sheet4.xml"/><Relationship Id="rId9" Type="http://schemas.microsoft.com/office/2006/relationships/vbaProject" Target="vbaProject.bin"/></Relationships>
</file>

<file path=xl/activeX/_rels/activeX1.xml.rels><?xml version="1.0" encoding="UTF-8" standalone="yes"?>
<Relationships xmlns="http://schemas.openxmlformats.org/package/2006/relationships"><Relationship Id="rId1" Type="http://schemas.microsoft.com/office/2006/relationships/activeXControlBinary" Target="activeX1.bin"/></Relationships>
</file>

<file path=xl/activeX/activeX1.xml><?xml version="1.0" encoding="utf-8"?>
<ax:ocx xmlns:ax="http://schemas.microsoft.com/office/2006/activeX" xmlns:r="http://schemas.openxmlformats.org/officeDocument/2006/relationships" ax:classid="{D7053240-CE69-11CD-A777-00DD01143C57}" ax:persistence="persistStreamInit" r:id="rId1"/>
</file>

<file path=xl/drawings/_rels/vmlDrawing1.vml.rels><?xml version="1.0" encoding="UTF-8" standalone="yes"?>
<Relationships xmlns="http://schemas.openxmlformats.org/package/2006/relationships"><Relationship Id="rId1" Type="http://schemas.openxmlformats.org/officeDocument/2006/relationships/image" Target="../media/image1.emf"/></Relationships>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5</xdr:col>
          <xdr:colOff>0</xdr:colOff>
          <xdr:row>1</xdr:row>
          <xdr:rowOff>0</xdr:rowOff>
        </xdr:from>
        <xdr:to>
          <xdr:col>7</xdr:col>
          <xdr:colOff>19050</xdr:colOff>
          <xdr:row>2</xdr:row>
          <xdr:rowOff>63500</xdr:rowOff>
        </xdr:to>
        <xdr:sp macro="" textlink="">
          <xdr:nvSpPr>
            <xdr:cNvPr id="4097" name="cmdIndent" hidden="1">
              <a:extLst>
                <a:ext uri="{63B3BB69-23CF-44E3-9099-C40C66FF867C}">
                  <a14:compatExt spid="_x0000_s4097"/>
                </a:ext>
                <a:ext uri="{FF2B5EF4-FFF2-40B4-BE49-F238E27FC236}">
                  <a16:creationId xmlns:a16="http://schemas.microsoft.com/office/drawing/2014/main" id="{00000000-0008-0000-0100-0000011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 xr:uid="{1184C8C4-A97D-49D3-A507-716C95463AC4}" name="tblCities" displayName="tblCities" ref="B2:D41" totalsRowShown="0" dataDxfId="10">
  <autoFilter ref="B2:D41" xr:uid="{1184C8C4-A97D-49D3-A507-716C95463AC4}"/>
  <tableColumns count="3">
    <tableColumn id="1" xr3:uid="{D7869FEA-D4BD-4061-80A6-9FACE20B1E49}" name="Code" dataDxfId="9"/>
    <tableColumn id="2" xr3:uid="{DA719D05-C51F-42B7-83FF-61E081D3B0BA}" name="Entity" dataDxfId="8"/>
    <tableColumn id="3" xr3:uid="{5F216000-7A1B-4D5D-AA98-6C994B35594F}" name="Parent Code" dataDxfId="7"/>
  </tableColumns>
  <tableStyleInfo name="TableStyleLight1" showFirstColumn="0" showLastColumn="0" showRowStripes="1" showColumnStripes="0"/>
</table>
</file>

<file path=xl/tables/table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5" xr:uid="{1348B620-27C0-4C3C-82D7-FAAB8062E862}" name="tblLayout" displayName="tblLayout" ref="B2:D41" totalsRowShown="0">
  <autoFilter ref="B2:D41" xr:uid="{1348B620-27C0-4C3C-82D7-FAAB8062E862}"/>
  <tableColumns count="3">
    <tableColumn id="1" xr3:uid="{BE4A539B-327F-4468-B6E5-47CF869E42B7}" name="Subject"/>
    <tableColumn id="2" xr3:uid="{AE6FDF6B-25AE-4377-88E2-D98475A8F33B}" name="Level"/>
    <tableColumn id="3" xr3:uid="{102C3DCD-AEF1-4C97-870F-85F97000E86D}" name="Code" dataDxfId="0">
      <calculatedColumnFormula>INDEX(tblCities[Code],MATCH(TRIM(tblLayout[[#This Row],[Subject]]),tblCities[Entity],0))</calculatedColumnFormula>
    </tableColumn>
  </tableColumns>
  <tableStyleInfo name="TableStyleLight1" showFirstColumn="0" showLastColumn="0" showRowStripes="1" showColumnStripes="0"/>
</table>
</file>

<file path=xl/tables/table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 xr:uid="{4ABE4E5E-7F4E-44F4-A92A-B1BCBB658FB9}" name="tblNarrative" displayName="tblNarrative" ref="B3:F42" totalsRowShown="0" dataDxfId="6">
  <autoFilter ref="B3:F42" xr:uid="{4ABE4E5E-7F4E-44F4-A92A-B1BCBB658FB9}"/>
  <tableColumns count="5">
    <tableColumn id="1" xr3:uid="{C9843E71-28D2-4097-8F3D-1955D293BEF3}" name="Entity" dataDxfId="5"/>
    <tableColumn id="5" xr3:uid="{6256B656-930E-4380-8651-DFC9B5BCEDAA}" name="Fiscal Year" dataDxfId="4"/>
    <tableColumn id="4" xr3:uid="{9D3F22B4-B4BD-4865-901F-B99FB1758D2D}" name="Period" dataDxfId="3"/>
    <tableColumn id="2" xr3:uid="{2FF58DDB-1B0C-4B2F-9F13-823696725FB3}" name="Narrative" dataDxfId="2"/>
    <tableColumn id="3" xr3:uid="{06243BC0-5C04-4E6C-BD38-69BCDED27E62}" name="Code" dataDxfId="1">
      <calculatedColumnFormula>INDEX(tblCities[Code],MATCH(tblNarrative[[#This Row],[Entity]],tblCities[Entity],0))</calculatedColumnFormula>
    </tableColumn>
  </tableColumns>
  <tableStyleInfo name="TableStyleLight1" showFirstColumn="0" showLastColumn="0" showRowStripes="1" showColumnStripes="0"/>
</table>
</file>

<file path=xl/tables/table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 xr:uid="{952E9A6B-BBB6-48AB-9DFB-18B63142E93D}" name="tblFiscalYear" displayName="tblFiscalYear" ref="B3:B5" totalsRowShown="0">
  <autoFilter ref="B3:B5" xr:uid="{952E9A6B-BBB6-48AB-9DFB-18B63142E93D}"/>
  <tableColumns count="1">
    <tableColumn id="1" xr3:uid="{29658420-1133-45E7-9F9F-B2302740AE8F}" name="Fiscal Year"/>
  </tableColumns>
  <tableStyleInfo name="TableStyleLight1" showFirstColumn="0" showLastColumn="0" showRowStripes="1" showColumnStripes="0"/>
</table>
</file>

<file path=xl/tables/table5.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4" xr:uid="{FFC0A604-7893-4D91-958A-842C5D829F1D}" name="tblPeriod" displayName="tblPeriod" ref="D3:D17" totalsRowShown="0">
  <autoFilter ref="D3:D17" xr:uid="{FFC0A604-7893-4D91-958A-842C5D829F1D}"/>
  <tableColumns count="1">
    <tableColumn id="1" xr3:uid="{017EC5E9-BDB2-447F-8FB4-E6EF68E006C4}" name="Period"/>
  </tableColumns>
  <tableStyleInfo name="TableStyleLight1" showFirstColumn="0" showLastColumn="0" showRowStripes="1" showColumnStripes="0"/>
</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1" Type="http://schemas.openxmlformats.org/officeDocument/2006/relationships/table" Target="../tables/table1.xml"/></Relationships>
</file>

<file path=xl/worksheets/_rels/sheet2.xml.rels><?xml version="1.0" encoding="UTF-8" standalone="yes"?>
<Relationships xmlns="http://schemas.openxmlformats.org/package/2006/relationships"><Relationship Id="rId3" Type="http://schemas.openxmlformats.org/officeDocument/2006/relationships/control" Target="../activeX/activeX1.xml"/><Relationship Id="rId2" Type="http://schemas.openxmlformats.org/officeDocument/2006/relationships/vmlDrawing" Target="../drawings/vmlDrawing1.vml"/><Relationship Id="rId1" Type="http://schemas.openxmlformats.org/officeDocument/2006/relationships/drawing" Target="../drawings/drawing1.xml"/><Relationship Id="rId5" Type="http://schemas.openxmlformats.org/officeDocument/2006/relationships/table" Target="../tables/table2.xml"/><Relationship Id="rId4" Type="http://schemas.openxmlformats.org/officeDocument/2006/relationships/image" Target="../media/image1.emf"/></Relationships>
</file>

<file path=xl/worksheets/_rels/sheet3.xml.rels><?xml version="1.0" encoding="UTF-8" standalone="yes"?>
<Relationships xmlns="http://schemas.openxmlformats.org/package/2006/relationships"><Relationship Id="rId1" Type="http://schemas.openxmlformats.org/officeDocument/2006/relationships/table" Target="../tables/table3.xml"/></Relationships>
</file>

<file path=xl/worksheets/_rels/sheet4.xml.rels><?xml version="1.0" encoding="UTF-8" standalone="yes"?>
<Relationships xmlns="http://schemas.openxmlformats.org/package/2006/relationships"><Relationship Id="rId2" Type="http://schemas.openxmlformats.org/officeDocument/2006/relationships/table" Target="../tables/table5.xml"/><Relationship Id="rId1" Type="http://schemas.openxmlformats.org/officeDocument/2006/relationships/table" Target="../tables/table4.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46070BD-625A-4397-92EF-6D0B0863E04E}">
  <sheetPr codeName="Sheet1"/>
  <dimension ref="B2:D41"/>
  <sheetViews>
    <sheetView workbookViewId="0">
      <selection activeCell="F23" sqref="F23"/>
    </sheetView>
  </sheetViews>
  <sheetFormatPr defaultRowHeight="14.5" x14ac:dyDescent="0.35"/>
  <cols>
    <col min="3" max="3" width="26.7265625" bestFit="1" customWidth="1"/>
    <col min="4" max="4" width="14" customWidth="1"/>
    <col min="6" max="6" width="26.7265625" bestFit="1" customWidth="1"/>
    <col min="7" max="7" width="35.26953125" customWidth="1"/>
  </cols>
  <sheetData>
    <row r="2" spans="2:4" x14ac:dyDescent="0.35">
      <c r="B2" t="s">
        <v>4</v>
      </c>
      <c r="C2" t="s">
        <v>3</v>
      </c>
      <c r="D2" t="s">
        <v>5</v>
      </c>
    </row>
    <row r="3" spans="2:4" s="1" customFormat="1" x14ac:dyDescent="0.35">
      <c r="B3" s="1">
        <v>0</v>
      </c>
      <c r="C3" s="1" t="s">
        <v>0</v>
      </c>
    </row>
    <row r="4" spans="2:4" s="1" customFormat="1" x14ac:dyDescent="0.35">
      <c r="B4" s="1">
        <v>1</v>
      </c>
      <c r="C4" s="1" t="s">
        <v>1</v>
      </c>
      <c r="D4" s="1">
        <v>0</v>
      </c>
    </row>
    <row r="5" spans="2:4" s="1" customFormat="1" x14ac:dyDescent="0.35">
      <c r="B5" s="1">
        <v>2</v>
      </c>
      <c r="C5" s="1" t="s">
        <v>7</v>
      </c>
      <c r="D5" s="1">
        <v>1</v>
      </c>
    </row>
    <row r="6" spans="2:4" s="1" customFormat="1" x14ac:dyDescent="0.35">
      <c r="B6" s="1">
        <v>3</v>
      </c>
      <c r="C6" s="1" t="s">
        <v>33</v>
      </c>
      <c r="D6" s="1">
        <v>2</v>
      </c>
    </row>
    <row r="7" spans="2:4" s="1" customFormat="1" x14ac:dyDescent="0.35">
      <c r="B7" s="1">
        <v>4</v>
      </c>
      <c r="C7" s="1" t="s">
        <v>6</v>
      </c>
      <c r="D7" s="1">
        <v>1</v>
      </c>
    </row>
    <row r="8" spans="2:4" s="1" customFormat="1" x14ac:dyDescent="0.35">
      <c r="B8" s="1">
        <v>5</v>
      </c>
      <c r="C8" s="1" t="s">
        <v>34</v>
      </c>
      <c r="D8" s="1">
        <v>4</v>
      </c>
    </row>
    <row r="9" spans="2:4" s="1" customFormat="1" x14ac:dyDescent="0.35">
      <c r="B9" s="1">
        <v>6</v>
      </c>
      <c r="C9" s="1" t="s">
        <v>8</v>
      </c>
      <c r="D9" s="1">
        <v>1</v>
      </c>
    </row>
    <row r="10" spans="2:4" s="1" customFormat="1" x14ac:dyDescent="0.35">
      <c r="B10" s="1">
        <v>7</v>
      </c>
      <c r="C10" s="1" t="s">
        <v>35</v>
      </c>
      <c r="D10" s="1">
        <v>6</v>
      </c>
    </row>
    <row r="11" spans="2:4" s="1" customFormat="1" x14ac:dyDescent="0.35">
      <c r="B11" s="1">
        <v>8</v>
      </c>
      <c r="C11" s="1" t="s">
        <v>11</v>
      </c>
      <c r="D11" s="1">
        <v>1</v>
      </c>
    </row>
    <row r="12" spans="2:4" s="1" customFormat="1" x14ac:dyDescent="0.35">
      <c r="B12" s="1">
        <v>9</v>
      </c>
      <c r="C12" s="1" t="s">
        <v>36</v>
      </c>
      <c r="D12" s="1">
        <v>8</v>
      </c>
    </row>
    <row r="13" spans="2:4" s="1" customFormat="1" x14ac:dyDescent="0.35">
      <c r="B13" s="1">
        <v>10</v>
      </c>
      <c r="C13" s="1" t="s">
        <v>12</v>
      </c>
      <c r="D13" s="1">
        <v>1</v>
      </c>
    </row>
    <row r="14" spans="2:4" s="1" customFormat="1" x14ac:dyDescent="0.35">
      <c r="B14" s="1">
        <v>11</v>
      </c>
      <c r="C14" s="1" t="s">
        <v>37</v>
      </c>
      <c r="D14" s="1">
        <v>10</v>
      </c>
    </row>
    <row r="15" spans="2:4" s="1" customFormat="1" x14ac:dyDescent="0.35">
      <c r="B15" s="1">
        <v>12</v>
      </c>
      <c r="C15" s="1" t="s">
        <v>10</v>
      </c>
      <c r="D15" s="1">
        <v>1</v>
      </c>
    </row>
    <row r="16" spans="2:4" s="1" customFormat="1" x14ac:dyDescent="0.35">
      <c r="B16" s="1">
        <v>13</v>
      </c>
      <c r="C16" s="1" t="s">
        <v>38</v>
      </c>
      <c r="D16" s="1">
        <v>12</v>
      </c>
    </row>
    <row r="17" spans="2:4" s="1" customFormat="1" x14ac:dyDescent="0.35">
      <c r="B17" s="1">
        <v>14</v>
      </c>
      <c r="C17" s="1" t="s">
        <v>67</v>
      </c>
      <c r="D17" s="1">
        <v>1</v>
      </c>
    </row>
    <row r="18" spans="2:4" s="1" customFormat="1" x14ac:dyDescent="0.35">
      <c r="B18" s="1">
        <v>15</v>
      </c>
      <c r="C18" s="1" t="s">
        <v>69</v>
      </c>
      <c r="D18" s="1">
        <v>14</v>
      </c>
    </row>
    <row r="19" spans="2:4" s="1" customFormat="1" x14ac:dyDescent="0.35">
      <c r="B19" s="1">
        <v>16</v>
      </c>
      <c r="C19" s="1" t="s">
        <v>9</v>
      </c>
      <c r="D19" s="1">
        <v>1</v>
      </c>
    </row>
    <row r="20" spans="2:4" s="1" customFormat="1" x14ac:dyDescent="0.35">
      <c r="B20" s="1">
        <v>17</v>
      </c>
      <c r="C20" s="1" t="s">
        <v>39</v>
      </c>
      <c r="D20" s="1">
        <v>16</v>
      </c>
    </row>
    <row r="21" spans="2:4" s="1" customFormat="1" x14ac:dyDescent="0.35">
      <c r="B21" s="1">
        <v>18</v>
      </c>
      <c r="C21" s="1" t="s">
        <v>2</v>
      </c>
      <c r="D21" s="1">
        <v>0</v>
      </c>
    </row>
    <row r="22" spans="2:4" s="1" customFormat="1" x14ac:dyDescent="0.35">
      <c r="B22" s="1">
        <v>19</v>
      </c>
      <c r="C22" s="1" t="s">
        <v>13</v>
      </c>
      <c r="D22" s="1">
        <v>18</v>
      </c>
    </row>
    <row r="23" spans="2:4" s="1" customFormat="1" x14ac:dyDescent="0.35">
      <c r="B23" s="1">
        <v>20</v>
      </c>
      <c r="C23" s="1" t="s">
        <v>24</v>
      </c>
      <c r="D23" s="1">
        <v>19</v>
      </c>
    </row>
    <row r="24" spans="2:4" s="1" customFormat="1" x14ac:dyDescent="0.35">
      <c r="B24" s="1">
        <v>21</v>
      </c>
      <c r="C24" s="1" t="s">
        <v>14</v>
      </c>
      <c r="D24" s="1">
        <v>18</v>
      </c>
    </row>
    <row r="25" spans="2:4" s="1" customFormat="1" x14ac:dyDescent="0.35">
      <c r="B25" s="1">
        <v>22</v>
      </c>
      <c r="C25" s="1" t="s">
        <v>25</v>
      </c>
      <c r="D25" s="1">
        <v>21</v>
      </c>
    </row>
    <row r="26" spans="2:4" s="1" customFormat="1" x14ac:dyDescent="0.35">
      <c r="B26" s="1">
        <v>23</v>
      </c>
      <c r="C26" s="1" t="s">
        <v>15</v>
      </c>
      <c r="D26" s="1">
        <v>18</v>
      </c>
    </row>
    <row r="27" spans="2:4" s="1" customFormat="1" x14ac:dyDescent="0.35">
      <c r="B27" s="1">
        <v>24</v>
      </c>
      <c r="C27" s="1" t="s">
        <v>26</v>
      </c>
      <c r="D27" s="1">
        <v>23</v>
      </c>
    </row>
    <row r="28" spans="2:4" s="1" customFormat="1" x14ac:dyDescent="0.35">
      <c r="B28" s="1">
        <v>25</v>
      </c>
      <c r="C28" s="1" t="s">
        <v>16</v>
      </c>
      <c r="D28" s="1">
        <v>18</v>
      </c>
    </row>
    <row r="29" spans="2:4" s="1" customFormat="1" x14ac:dyDescent="0.35">
      <c r="B29" s="1">
        <v>26</v>
      </c>
      <c r="C29" s="1" t="s">
        <v>27</v>
      </c>
      <c r="D29" s="1">
        <v>25</v>
      </c>
    </row>
    <row r="30" spans="2:4" s="1" customFormat="1" x14ac:dyDescent="0.35">
      <c r="B30" s="1">
        <v>27</v>
      </c>
      <c r="C30" s="1" t="s">
        <v>17</v>
      </c>
      <c r="D30" s="1">
        <v>18</v>
      </c>
    </row>
    <row r="31" spans="2:4" s="1" customFormat="1" x14ac:dyDescent="0.35">
      <c r="B31" s="1">
        <v>28</v>
      </c>
      <c r="C31" s="1" t="s">
        <v>28</v>
      </c>
      <c r="D31" s="1">
        <v>27</v>
      </c>
    </row>
    <row r="32" spans="2:4" s="1" customFormat="1" x14ac:dyDescent="0.35">
      <c r="B32" s="1">
        <v>29</v>
      </c>
      <c r="C32" s="1" t="s">
        <v>18</v>
      </c>
      <c r="D32" s="1">
        <v>18</v>
      </c>
    </row>
    <row r="33" spans="2:4" s="1" customFormat="1" x14ac:dyDescent="0.35">
      <c r="B33" s="1">
        <v>30</v>
      </c>
      <c r="C33" s="1" t="s">
        <v>29</v>
      </c>
      <c r="D33" s="1">
        <v>29</v>
      </c>
    </row>
    <row r="34" spans="2:4" s="1" customFormat="1" x14ac:dyDescent="0.35">
      <c r="B34" s="1">
        <v>31</v>
      </c>
      <c r="C34" s="1" t="s">
        <v>19</v>
      </c>
      <c r="D34" s="1">
        <v>18</v>
      </c>
    </row>
    <row r="35" spans="2:4" s="1" customFormat="1" x14ac:dyDescent="0.35">
      <c r="B35" s="1">
        <v>32</v>
      </c>
      <c r="C35" s="1" t="s">
        <v>30</v>
      </c>
      <c r="D35" s="1">
        <v>31</v>
      </c>
    </row>
    <row r="36" spans="2:4" s="1" customFormat="1" x14ac:dyDescent="0.35">
      <c r="B36" s="1">
        <v>33</v>
      </c>
      <c r="C36" s="1" t="s">
        <v>20</v>
      </c>
      <c r="D36" s="1">
        <v>18</v>
      </c>
    </row>
    <row r="37" spans="2:4" s="1" customFormat="1" x14ac:dyDescent="0.35">
      <c r="B37" s="1">
        <v>34</v>
      </c>
      <c r="C37" s="1" t="s">
        <v>31</v>
      </c>
      <c r="D37" s="1">
        <v>33</v>
      </c>
    </row>
    <row r="38" spans="2:4" s="1" customFormat="1" x14ac:dyDescent="0.35">
      <c r="B38" s="1">
        <v>35</v>
      </c>
      <c r="C38" s="1" t="s">
        <v>21</v>
      </c>
      <c r="D38" s="1">
        <v>18</v>
      </c>
    </row>
    <row r="39" spans="2:4" s="1" customFormat="1" x14ac:dyDescent="0.35">
      <c r="B39" s="1">
        <v>36</v>
      </c>
      <c r="C39" s="1" t="s">
        <v>32</v>
      </c>
      <c r="D39" s="1">
        <v>35</v>
      </c>
    </row>
    <row r="40" spans="2:4" s="1" customFormat="1" x14ac:dyDescent="0.35">
      <c r="B40" s="1">
        <v>37</v>
      </c>
      <c r="C40" s="1" t="s">
        <v>22</v>
      </c>
      <c r="D40" s="1">
        <v>18</v>
      </c>
    </row>
    <row r="41" spans="2:4" s="1" customFormat="1" x14ac:dyDescent="0.35">
      <c r="B41" s="1">
        <v>38</v>
      </c>
      <c r="C41" s="1" t="s">
        <v>23</v>
      </c>
      <c r="D41" s="1">
        <v>37</v>
      </c>
    </row>
  </sheetData>
  <sortState xmlns:xlrd2="http://schemas.microsoft.com/office/spreadsheetml/2017/richdata2" ref="C5:C19">
    <sortCondition ref="C5:C19"/>
  </sortState>
  <pageMargins left="0.7" right="0.7" top="0.75" bottom="0.75" header="0.3" footer="0.3"/>
  <tableParts count="1">
    <tablePart r:id="rId1"/>
  </tableParts>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8EFC4E4-69DC-4DB0-BC98-4A5509656AA6}">
  <sheetPr codeName="Sheet2"/>
  <dimension ref="B2:D41"/>
  <sheetViews>
    <sheetView tabSelected="1" workbookViewId="0">
      <selection activeCell="G8" sqref="G8"/>
    </sheetView>
  </sheetViews>
  <sheetFormatPr defaultRowHeight="14.5" x14ac:dyDescent="0.35"/>
  <cols>
    <col min="2" max="2" width="25.453125" bestFit="1" customWidth="1"/>
  </cols>
  <sheetData>
    <row r="2" spans="2:4" x14ac:dyDescent="0.35">
      <c r="B2" t="s">
        <v>87</v>
      </c>
      <c r="C2" t="s">
        <v>86</v>
      </c>
      <c r="D2" t="s">
        <v>4</v>
      </c>
    </row>
    <row r="3" spans="2:4" x14ac:dyDescent="0.35">
      <c r="B3" t="s">
        <v>0</v>
      </c>
      <c r="C3">
        <v>0</v>
      </c>
      <c r="D3">
        <f>INDEX(tblCities[Code],MATCH(TRIM(tblLayout[[#This Row],[Subject]]),tblCities[Entity],0))</f>
        <v>0</v>
      </c>
    </row>
    <row r="4" spans="2:4" x14ac:dyDescent="0.35">
      <c r="B4" t="s">
        <v>88</v>
      </c>
      <c r="C4">
        <v>1</v>
      </c>
      <c r="D4">
        <f>INDEX(tblCities[Code],MATCH(TRIM(tblLayout[[#This Row],[Subject]]),tblCities[Entity],0))</f>
        <v>1</v>
      </c>
    </row>
    <row r="5" spans="2:4" x14ac:dyDescent="0.35">
      <c r="B5" t="s">
        <v>89</v>
      </c>
      <c r="C5">
        <v>2</v>
      </c>
      <c r="D5">
        <f>INDEX(tblCities[Code],MATCH(TRIM(tblLayout[[#This Row],[Subject]]),tblCities[Entity],0))</f>
        <v>2</v>
      </c>
    </row>
    <row r="6" spans="2:4" x14ac:dyDescent="0.35">
      <c r="B6" t="s">
        <v>90</v>
      </c>
      <c r="C6">
        <v>3</v>
      </c>
      <c r="D6">
        <f>INDEX(tblCities[Code],MATCH(TRIM(tblLayout[[#This Row],[Subject]]),tblCities[Entity],0))</f>
        <v>3</v>
      </c>
    </row>
    <row r="7" spans="2:4" x14ac:dyDescent="0.35">
      <c r="B7" t="s">
        <v>91</v>
      </c>
      <c r="C7">
        <v>2</v>
      </c>
      <c r="D7">
        <f>INDEX(tblCities[Code],MATCH(TRIM(tblLayout[[#This Row],[Subject]]),tblCities[Entity],0))</f>
        <v>4</v>
      </c>
    </row>
    <row r="8" spans="2:4" x14ac:dyDescent="0.35">
      <c r="B8" t="s">
        <v>92</v>
      </c>
      <c r="C8">
        <v>3</v>
      </c>
      <c r="D8">
        <f>INDEX(tblCities[Code],MATCH(TRIM(tblLayout[[#This Row],[Subject]]),tblCities[Entity],0))</f>
        <v>5</v>
      </c>
    </row>
    <row r="9" spans="2:4" x14ac:dyDescent="0.35">
      <c r="B9" t="s">
        <v>93</v>
      </c>
      <c r="C9">
        <v>2</v>
      </c>
      <c r="D9">
        <f>INDEX(tblCities[Code],MATCH(TRIM(tblLayout[[#This Row],[Subject]]),tblCities[Entity],0))</f>
        <v>6</v>
      </c>
    </row>
    <row r="10" spans="2:4" x14ac:dyDescent="0.35">
      <c r="B10" t="s">
        <v>94</v>
      </c>
      <c r="C10">
        <v>3</v>
      </c>
      <c r="D10">
        <f>INDEX(tblCities[Code],MATCH(TRIM(tblLayout[[#This Row],[Subject]]),tblCities[Entity],0))</f>
        <v>7</v>
      </c>
    </row>
    <row r="11" spans="2:4" x14ac:dyDescent="0.35">
      <c r="B11" t="s">
        <v>95</v>
      </c>
      <c r="C11">
        <v>2</v>
      </c>
      <c r="D11">
        <f>INDEX(tblCities[Code],MATCH(TRIM(tblLayout[[#This Row],[Subject]]),tblCities[Entity],0))</f>
        <v>8</v>
      </c>
    </row>
    <row r="12" spans="2:4" x14ac:dyDescent="0.35">
      <c r="B12" t="s">
        <v>96</v>
      </c>
      <c r="C12">
        <v>3</v>
      </c>
      <c r="D12">
        <f>INDEX(tblCities[Code],MATCH(TRIM(tblLayout[[#This Row],[Subject]]),tblCities[Entity],0))</f>
        <v>9</v>
      </c>
    </row>
    <row r="13" spans="2:4" x14ac:dyDescent="0.35">
      <c r="B13" t="s">
        <v>97</v>
      </c>
      <c r="C13">
        <v>2</v>
      </c>
      <c r="D13">
        <f>INDEX(tblCities[Code],MATCH(TRIM(tblLayout[[#This Row],[Subject]]),tblCities[Entity],0))</f>
        <v>10</v>
      </c>
    </row>
    <row r="14" spans="2:4" x14ac:dyDescent="0.35">
      <c r="B14" t="s">
        <v>98</v>
      </c>
      <c r="C14">
        <v>3</v>
      </c>
      <c r="D14">
        <f>INDEX(tblCities[Code],MATCH(TRIM(tblLayout[[#This Row],[Subject]]),tblCities[Entity],0))</f>
        <v>11</v>
      </c>
    </row>
    <row r="15" spans="2:4" x14ac:dyDescent="0.35">
      <c r="B15" t="s">
        <v>99</v>
      </c>
      <c r="C15">
        <v>2</v>
      </c>
      <c r="D15">
        <f>INDEX(tblCities[Code],MATCH(TRIM(tblLayout[[#This Row],[Subject]]),tblCities[Entity],0))</f>
        <v>12</v>
      </c>
    </row>
    <row r="16" spans="2:4" x14ac:dyDescent="0.35">
      <c r="B16" t="s">
        <v>100</v>
      </c>
      <c r="C16">
        <v>3</v>
      </c>
      <c r="D16">
        <f>INDEX(tblCities[Code],MATCH(TRIM(tblLayout[[#This Row],[Subject]]),tblCities[Entity],0))</f>
        <v>13</v>
      </c>
    </row>
    <row r="17" spans="2:4" x14ac:dyDescent="0.35">
      <c r="B17" t="s">
        <v>101</v>
      </c>
      <c r="C17">
        <v>2</v>
      </c>
      <c r="D17">
        <f>INDEX(tblCities[Code],MATCH(TRIM(tblLayout[[#This Row],[Subject]]),tblCities[Entity],0))</f>
        <v>14</v>
      </c>
    </row>
    <row r="18" spans="2:4" x14ac:dyDescent="0.35">
      <c r="B18" t="s">
        <v>102</v>
      </c>
      <c r="C18">
        <v>3</v>
      </c>
      <c r="D18">
        <f>INDEX(tblCities[Code],MATCH(TRIM(tblLayout[[#This Row],[Subject]]),tblCities[Entity],0))</f>
        <v>15</v>
      </c>
    </row>
    <row r="19" spans="2:4" x14ac:dyDescent="0.35">
      <c r="B19" t="s">
        <v>103</v>
      </c>
      <c r="C19">
        <v>2</v>
      </c>
      <c r="D19">
        <f>INDEX(tblCities[Code],MATCH(TRIM(tblLayout[[#This Row],[Subject]]),tblCities[Entity],0))</f>
        <v>16</v>
      </c>
    </row>
    <row r="20" spans="2:4" x14ac:dyDescent="0.35">
      <c r="B20" t="s">
        <v>104</v>
      </c>
      <c r="C20">
        <v>3</v>
      </c>
      <c r="D20">
        <f>INDEX(tblCities[Code],MATCH(TRIM(tblLayout[[#This Row],[Subject]]),tblCities[Entity],0))</f>
        <v>17</v>
      </c>
    </row>
    <row r="21" spans="2:4" x14ac:dyDescent="0.35">
      <c r="B21" t="s">
        <v>105</v>
      </c>
      <c r="C21">
        <v>1</v>
      </c>
      <c r="D21">
        <f>INDEX(tblCities[Code],MATCH(TRIM(tblLayout[[#This Row],[Subject]]),tblCities[Entity],0))</f>
        <v>18</v>
      </c>
    </row>
    <row r="22" spans="2:4" x14ac:dyDescent="0.35">
      <c r="B22" t="s">
        <v>106</v>
      </c>
      <c r="C22">
        <v>2</v>
      </c>
      <c r="D22">
        <f>INDEX(tblCities[Code],MATCH(TRIM(tblLayout[[#This Row],[Subject]]),tblCities[Entity],0))</f>
        <v>19</v>
      </c>
    </row>
    <row r="23" spans="2:4" x14ac:dyDescent="0.35">
      <c r="B23" t="s">
        <v>107</v>
      </c>
      <c r="C23">
        <v>3</v>
      </c>
      <c r="D23">
        <f>INDEX(tblCities[Code],MATCH(TRIM(tblLayout[[#This Row],[Subject]]),tblCities[Entity],0))</f>
        <v>20</v>
      </c>
    </row>
    <row r="24" spans="2:4" x14ac:dyDescent="0.35">
      <c r="B24" t="s">
        <v>108</v>
      </c>
      <c r="C24">
        <v>2</v>
      </c>
      <c r="D24">
        <f>INDEX(tblCities[Code],MATCH(TRIM(tblLayout[[#This Row],[Subject]]),tblCities[Entity],0))</f>
        <v>21</v>
      </c>
    </row>
    <row r="25" spans="2:4" x14ac:dyDescent="0.35">
      <c r="B25" t="s">
        <v>109</v>
      </c>
      <c r="C25">
        <v>3</v>
      </c>
      <c r="D25">
        <f>INDEX(tblCities[Code],MATCH(TRIM(tblLayout[[#This Row],[Subject]]),tblCities[Entity],0))</f>
        <v>22</v>
      </c>
    </row>
    <row r="26" spans="2:4" x14ac:dyDescent="0.35">
      <c r="B26" t="s">
        <v>110</v>
      </c>
      <c r="C26">
        <v>2</v>
      </c>
      <c r="D26">
        <f>INDEX(tblCities[Code],MATCH(TRIM(tblLayout[[#This Row],[Subject]]),tblCities[Entity],0))</f>
        <v>23</v>
      </c>
    </row>
    <row r="27" spans="2:4" x14ac:dyDescent="0.35">
      <c r="B27" t="s">
        <v>111</v>
      </c>
      <c r="C27">
        <v>3</v>
      </c>
      <c r="D27">
        <f>INDEX(tblCities[Code],MATCH(TRIM(tblLayout[[#This Row],[Subject]]),tblCities[Entity],0))</f>
        <v>24</v>
      </c>
    </row>
    <row r="28" spans="2:4" x14ac:dyDescent="0.35">
      <c r="B28" t="s">
        <v>112</v>
      </c>
      <c r="C28">
        <v>2</v>
      </c>
      <c r="D28">
        <f>INDEX(tblCities[Code],MATCH(TRIM(tblLayout[[#This Row],[Subject]]),tblCities[Entity],0))</f>
        <v>25</v>
      </c>
    </row>
    <row r="29" spans="2:4" x14ac:dyDescent="0.35">
      <c r="B29" t="s">
        <v>113</v>
      </c>
      <c r="C29">
        <v>3</v>
      </c>
      <c r="D29">
        <f>INDEX(tblCities[Code],MATCH(TRIM(tblLayout[[#This Row],[Subject]]),tblCities[Entity],0))</f>
        <v>26</v>
      </c>
    </row>
    <row r="30" spans="2:4" x14ac:dyDescent="0.35">
      <c r="B30" t="s">
        <v>114</v>
      </c>
      <c r="C30">
        <v>2</v>
      </c>
      <c r="D30">
        <f>INDEX(tblCities[Code],MATCH(TRIM(tblLayout[[#This Row],[Subject]]),tblCities[Entity],0))</f>
        <v>27</v>
      </c>
    </row>
    <row r="31" spans="2:4" x14ac:dyDescent="0.35">
      <c r="B31" t="s">
        <v>115</v>
      </c>
      <c r="C31">
        <v>3</v>
      </c>
      <c r="D31">
        <f>INDEX(tblCities[Code],MATCH(TRIM(tblLayout[[#This Row],[Subject]]),tblCities[Entity],0))</f>
        <v>28</v>
      </c>
    </row>
    <row r="32" spans="2:4" x14ac:dyDescent="0.35">
      <c r="B32" t="s">
        <v>116</v>
      </c>
      <c r="C32">
        <v>2</v>
      </c>
      <c r="D32">
        <f>INDEX(tblCities[Code],MATCH(TRIM(tblLayout[[#This Row],[Subject]]),tblCities[Entity],0))</f>
        <v>29</v>
      </c>
    </row>
    <row r="33" spans="2:4" x14ac:dyDescent="0.35">
      <c r="B33" t="s">
        <v>117</v>
      </c>
      <c r="C33">
        <v>3</v>
      </c>
      <c r="D33">
        <f>INDEX(tblCities[Code],MATCH(TRIM(tblLayout[[#This Row],[Subject]]),tblCities[Entity],0))</f>
        <v>30</v>
      </c>
    </row>
    <row r="34" spans="2:4" x14ac:dyDescent="0.35">
      <c r="B34" t="s">
        <v>118</v>
      </c>
      <c r="C34">
        <v>2</v>
      </c>
      <c r="D34">
        <f>INDEX(tblCities[Code],MATCH(TRIM(tblLayout[[#This Row],[Subject]]),tblCities[Entity],0))</f>
        <v>31</v>
      </c>
    </row>
    <row r="35" spans="2:4" x14ac:dyDescent="0.35">
      <c r="B35" t="s">
        <v>119</v>
      </c>
      <c r="C35">
        <v>3</v>
      </c>
      <c r="D35">
        <f>INDEX(tblCities[Code],MATCH(TRIM(tblLayout[[#This Row],[Subject]]),tblCities[Entity],0))</f>
        <v>32</v>
      </c>
    </row>
    <row r="36" spans="2:4" x14ac:dyDescent="0.35">
      <c r="B36" t="s">
        <v>120</v>
      </c>
      <c r="C36">
        <v>2</v>
      </c>
      <c r="D36">
        <f>INDEX(tblCities[Code],MATCH(TRIM(tblLayout[[#This Row],[Subject]]),tblCities[Entity],0))</f>
        <v>33</v>
      </c>
    </row>
    <row r="37" spans="2:4" x14ac:dyDescent="0.35">
      <c r="B37" t="s">
        <v>121</v>
      </c>
      <c r="C37">
        <v>3</v>
      </c>
      <c r="D37">
        <f>INDEX(tblCities[Code],MATCH(TRIM(tblLayout[[#This Row],[Subject]]),tblCities[Entity],0))</f>
        <v>34</v>
      </c>
    </row>
    <row r="38" spans="2:4" x14ac:dyDescent="0.35">
      <c r="B38" t="s">
        <v>122</v>
      </c>
      <c r="C38">
        <v>2</v>
      </c>
      <c r="D38">
        <f>INDEX(tblCities[Code],MATCH(TRIM(tblLayout[[#This Row],[Subject]]),tblCities[Entity],0))</f>
        <v>35</v>
      </c>
    </row>
    <row r="39" spans="2:4" x14ac:dyDescent="0.35">
      <c r="B39" t="s">
        <v>123</v>
      </c>
      <c r="C39">
        <v>3</v>
      </c>
      <c r="D39">
        <f>INDEX(tblCities[Code],MATCH(TRIM(tblLayout[[#This Row],[Subject]]),tblCities[Entity],0))</f>
        <v>36</v>
      </c>
    </row>
    <row r="40" spans="2:4" x14ac:dyDescent="0.35">
      <c r="B40" t="s">
        <v>124</v>
      </c>
      <c r="C40">
        <v>2</v>
      </c>
      <c r="D40">
        <f>INDEX(tblCities[Code],MATCH(TRIM(tblLayout[[#This Row],[Subject]]),tblCities[Entity],0))</f>
        <v>37</v>
      </c>
    </row>
    <row r="41" spans="2:4" x14ac:dyDescent="0.35">
      <c r="B41" t="s">
        <v>125</v>
      </c>
      <c r="C41">
        <v>3</v>
      </c>
      <c r="D41">
        <f>INDEX(tblCities[Code],MATCH(TRIM(tblLayout[[#This Row],[Subject]]),tblCities[Entity],0))</f>
        <v>38</v>
      </c>
    </row>
  </sheetData>
  <pageMargins left="0.7" right="0.7" top="0.75" bottom="0.75" header="0.3" footer="0.3"/>
  <drawing r:id="rId1"/>
  <legacyDrawing r:id="rId2"/>
  <controls>
    <mc:AlternateContent xmlns:mc="http://schemas.openxmlformats.org/markup-compatibility/2006">
      <mc:Choice Requires="x14">
        <control shapeId="4097" r:id="rId3" name="cmdIndent">
          <controlPr locked="0" defaultSize="0" autoLine="0" r:id="rId4">
            <anchor moveWithCells="1">
              <from>
                <xdr:col>5</xdr:col>
                <xdr:colOff>0</xdr:colOff>
                <xdr:row>1</xdr:row>
                <xdr:rowOff>0</xdr:rowOff>
              </from>
              <to>
                <xdr:col>7</xdr:col>
                <xdr:colOff>19050</xdr:colOff>
                <xdr:row>2</xdr:row>
                <xdr:rowOff>69850</xdr:rowOff>
              </to>
            </anchor>
          </controlPr>
        </control>
      </mc:Choice>
      <mc:Fallback>
        <control shapeId="4097" r:id="rId3" name="cmdIndent"/>
      </mc:Fallback>
    </mc:AlternateContent>
  </controls>
  <tableParts count="1">
    <tablePart r:id="rId5"/>
  </tableParts>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2ACCAF3-1EBE-4A83-8C5E-A72F496C8D19}">
  <sheetPr codeName="Sheet3"/>
  <dimension ref="B3:F42"/>
  <sheetViews>
    <sheetView topLeftCell="A42" workbookViewId="0">
      <selection activeCell="B4" sqref="B4:B42"/>
    </sheetView>
  </sheetViews>
  <sheetFormatPr defaultRowHeight="14.5" x14ac:dyDescent="0.35"/>
  <cols>
    <col min="5" max="5" width="71.1796875" style="2" customWidth="1"/>
  </cols>
  <sheetData>
    <row r="3" spans="2:6" x14ac:dyDescent="0.35">
      <c r="B3" t="s">
        <v>3</v>
      </c>
      <c r="C3" t="s">
        <v>81</v>
      </c>
      <c r="D3" t="s">
        <v>82</v>
      </c>
      <c r="E3" s="2" t="s">
        <v>40</v>
      </c>
      <c r="F3" t="s">
        <v>4</v>
      </c>
    </row>
    <row r="4" spans="2:6" ht="29" x14ac:dyDescent="0.35">
      <c r="B4" s="1" t="s">
        <v>0</v>
      </c>
      <c r="C4" s="1" t="s">
        <v>84</v>
      </c>
      <c r="D4" s="1">
        <v>5</v>
      </c>
      <c r="E4" s="2" t="s">
        <v>85</v>
      </c>
      <c r="F4" s="1">
        <f>INDEX(tblCities[Code],MATCH(tblNarrative[[#This Row],[Entity]],tblCities[Entity],0))</f>
        <v>0</v>
      </c>
    </row>
    <row r="5" spans="2:6" ht="58" x14ac:dyDescent="0.35">
      <c r="B5" s="1" t="s">
        <v>1</v>
      </c>
      <c r="C5" s="1" t="s">
        <v>84</v>
      </c>
      <c r="D5" s="1">
        <v>5</v>
      </c>
      <c r="E5" s="2" t="s">
        <v>72</v>
      </c>
      <c r="F5" s="1">
        <f>INDEX(tblCities[Code],MATCH(tblNarrative[[#This Row],[Entity]],tblCities[Entity],0))</f>
        <v>1</v>
      </c>
    </row>
    <row r="6" spans="2:6" ht="101.5" x14ac:dyDescent="0.35">
      <c r="B6" s="1" t="s">
        <v>7</v>
      </c>
      <c r="C6" s="1" t="s">
        <v>84</v>
      </c>
      <c r="D6" s="1">
        <v>5</v>
      </c>
      <c r="E6" s="2" t="s">
        <v>71</v>
      </c>
      <c r="F6" s="1">
        <f>INDEX(tblCities[Code],MATCH(tblNarrative[[#This Row],[Entity]],tblCities[Entity],0))</f>
        <v>2</v>
      </c>
    </row>
    <row r="7" spans="2:6" ht="101.5" x14ac:dyDescent="0.35">
      <c r="B7" s="1" t="s">
        <v>33</v>
      </c>
      <c r="C7" s="1" t="s">
        <v>84</v>
      </c>
      <c r="D7" s="1">
        <v>5</v>
      </c>
      <c r="E7" s="2" t="s">
        <v>80</v>
      </c>
      <c r="F7" s="1">
        <f>INDEX(tblCities[Code],MATCH(tblNarrative[[#This Row],[Entity]],tblCities[Entity],0))</f>
        <v>3</v>
      </c>
    </row>
    <row r="8" spans="2:6" ht="101.5" x14ac:dyDescent="0.35">
      <c r="B8" s="1" t="s">
        <v>6</v>
      </c>
      <c r="C8" s="1" t="s">
        <v>84</v>
      </c>
      <c r="D8" s="1">
        <v>5</v>
      </c>
      <c r="E8" s="2" t="s">
        <v>62</v>
      </c>
      <c r="F8" s="1">
        <f>INDEX(tblCities[Code],MATCH(tblNarrative[[#This Row],[Entity]],tblCities[Entity],0))</f>
        <v>4</v>
      </c>
    </row>
    <row r="9" spans="2:6" ht="130.5" x14ac:dyDescent="0.35">
      <c r="B9" s="1" t="s">
        <v>34</v>
      </c>
      <c r="C9" s="1" t="s">
        <v>84</v>
      </c>
      <c r="D9" s="1">
        <v>5</v>
      </c>
      <c r="E9" s="2" t="s">
        <v>73</v>
      </c>
      <c r="F9" s="1">
        <f>INDEX(tblCities[Code],MATCH(tblNarrative[[#This Row],[Entity]],tblCities[Entity],0))</f>
        <v>5</v>
      </c>
    </row>
    <row r="10" spans="2:6" ht="101.5" x14ac:dyDescent="0.35">
      <c r="B10" s="1" t="s">
        <v>8</v>
      </c>
      <c r="C10" s="1" t="s">
        <v>84</v>
      </c>
      <c r="D10" s="1">
        <v>5</v>
      </c>
      <c r="E10" s="2" t="s">
        <v>63</v>
      </c>
      <c r="F10" s="1">
        <f>INDEX(tblCities[Code],MATCH(tblNarrative[[#This Row],[Entity]],tblCities[Entity],0))</f>
        <v>6</v>
      </c>
    </row>
    <row r="11" spans="2:6" ht="130.5" x14ac:dyDescent="0.35">
      <c r="B11" s="1" t="s">
        <v>35</v>
      </c>
      <c r="C11" s="1" t="s">
        <v>84</v>
      </c>
      <c r="D11" s="1">
        <v>5</v>
      </c>
      <c r="E11" s="2" t="s">
        <v>74</v>
      </c>
      <c r="F11" s="1">
        <f>INDEX(tblCities[Code],MATCH(tblNarrative[[#This Row],[Entity]],tblCities[Entity],0))</f>
        <v>7</v>
      </c>
    </row>
    <row r="12" spans="2:6" ht="101.5" x14ac:dyDescent="0.35">
      <c r="B12" s="1" t="s">
        <v>11</v>
      </c>
      <c r="C12" s="1" t="s">
        <v>84</v>
      </c>
      <c r="D12" s="1">
        <v>5</v>
      </c>
      <c r="E12" s="2" t="s">
        <v>64</v>
      </c>
      <c r="F12" s="1">
        <f>INDEX(tblCities[Code],MATCH(tblNarrative[[#This Row],[Entity]],tblCities[Entity],0))</f>
        <v>8</v>
      </c>
    </row>
    <row r="13" spans="2:6" ht="116" x14ac:dyDescent="0.35">
      <c r="B13" s="1" t="s">
        <v>36</v>
      </c>
      <c r="C13" s="1" t="s">
        <v>84</v>
      </c>
      <c r="D13" s="1">
        <v>5</v>
      </c>
      <c r="E13" s="2" t="s">
        <v>75</v>
      </c>
      <c r="F13" s="1">
        <f>INDEX(tblCities[Code],MATCH(tblNarrative[[#This Row],[Entity]],tblCities[Entity],0))</f>
        <v>9</v>
      </c>
    </row>
    <row r="14" spans="2:6" ht="87" x14ac:dyDescent="0.35">
      <c r="B14" s="1" t="s">
        <v>12</v>
      </c>
      <c r="C14" s="1" t="s">
        <v>84</v>
      </c>
      <c r="D14" s="1">
        <v>5</v>
      </c>
      <c r="E14" s="2" t="s">
        <v>65</v>
      </c>
      <c r="F14" s="1">
        <f>INDEX(tblCities[Code],MATCH(tblNarrative[[#This Row],[Entity]],tblCities[Entity],0))</f>
        <v>10</v>
      </c>
    </row>
    <row r="15" spans="2:6" ht="116" x14ac:dyDescent="0.35">
      <c r="B15" s="1" t="s">
        <v>37</v>
      </c>
      <c r="C15" s="1" t="s">
        <v>84</v>
      </c>
      <c r="D15" s="1">
        <v>5</v>
      </c>
      <c r="E15" s="2" t="s">
        <v>76</v>
      </c>
      <c r="F15" s="1">
        <f>INDEX(tblCities[Code],MATCH(tblNarrative[[#This Row],[Entity]],tblCities[Entity],0))</f>
        <v>11</v>
      </c>
    </row>
    <row r="16" spans="2:6" ht="101.5" x14ac:dyDescent="0.35">
      <c r="B16" s="1" t="s">
        <v>10</v>
      </c>
      <c r="C16" s="1" t="s">
        <v>84</v>
      </c>
      <c r="D16" s="1">
        <v>5</v>
      </c>
      <c r="E16" s="2" t="s">
        <v>66</v>
      </c>
      <c r="F16" s="1">
        <f>INDEX(tblCities[Code],MATCH(tblNarrative[[#This Row],[Entity]],tblCities[Entity],0))</f>
        <v>12</v>
      </c>
    </row>
    <row r="17" spans="2:6" ht="116" x14ac:dyDescent="0.35">
      <c r="B17" s="1" t="s">
        <v>38</v>
      </c>
      <c r="C17" s="1" t="s">
        <v>84</v>
      </c>
      <c r="D17" s="1">
        <v>5</v>
      </c>
      <c r="E17" s="2" t="s">
        <v>77</v>
      </c>
      <c r="F17" s="1">
        <f>INDEX(tblCities[Code],MATCH(tblNarrative[[#This Row],[Entity]],tblCities[Entity],0))</f>
        <v>13</v>
      </c>
    </row>
    <row r="18" spans="2:6" ht="87" x14ac:dyDescent="0.35">
      <c r="B18" s="1" t="s">
        <v>67</v>
      </c>
      <c r="C18" s="1" t="s">
        <v>84</v>
      </c>
      <c r="D18" s="1">
        <v>5</v>
      </c>
      <c r="E18" s="2" t="s">
        <v>68</v>
      </c>
      <c r="F18" s="1">
        <f>INDEX(tblCities[Code],MATCH(tblNarrative[[#This Row],[Entity]],tblCities[Entity],0))</f>
        <v>14</v>
      </c>
    </row>
    <row r="19" spans="2:6" ht="116" x14ac:dyDescent="0.35">
      <c r="B19" s="1" t="s">
        <v>69</v>
      </c>
      <c r="C19" s="1" t="s">
        <v>84</v>
      </c>
      <c r="D19" s="1">
        <v>5</v>
      </c>
      <c r="E19" s="2" t="s">
        <v>78</v>
      </c>
      <c r="F19" s="1">
        <f>INDEX(tblCities[Code],MATCH(tblNarrative[[#This Row],[Entity]],tblCities[Entity],0))</f>
        <v>15</v>
      </c>
    </row>
    <row r="20" spans="2:6" ht="87" x14ac:dyDescent="0.35">
      <c r="B20" s="1" t="s">
        <v>9</v>
      </c>
      <c r="C20" s="1" t="s">
        <v>84</v>
      </c>
      <c r="D20" s="1">
        <v>5</v>
      </c>
      <c r="E20" s="2" t="s">
        <v>70</v>
      </c>
      <c r="F20" s="1">
        <f>INDEX(tblCities[Code],MATCH(tblNarrative[[#This Row],[Entity]],tblCities[Entity],0))</f>
        <v>16</v>
      </c>
    </row>
    <row r="21" spans="2:6" ht="130.5" x14ac:dyDescent="0.35">
      <c r="B21" s="1" t="s">
        <v>39</v>
      </c>
      <c r="C21" s="1" t="s">
        <v>84</v>
      </c>
      <c r="D21" s="1">
        <v>5</v>
      </c>
      <c r="E21" s="2" t="s">
        <v>79</v>
      </c>
      <c r="F21" s="1">
        <f>INDEX(tblCities[Code],MATCH(tblNarrative[[#This Row],[Entity]],tblCities[Entity],0))</f>
        <v>17</v>
      </c>
    </row>
    <row r="22" spans="2:6" ht="101.5" x14ac:dyDescent="0.35">
      <c r="B22" s="1" t="s">
        <v>2</v>
      </c>
      <c r="C22" s="1" t="s">
        <v>84</v>
      </c>
      <c r="D22" s="1">
        <v>5</v>
      </c>
      <c r="E22" s="2" t="s">
        <v>42</v>
      </c>
      <c r="F22" s="1">
        <f>INDEX(tblCities[Code],MATCH(tblNarrative[[#This Row],[Entity]],tblCities[Entity],0))</f>
        <v>18</v>
      </c>
    </row>
    <row r="23" spans="2:6" ht="174" x14ac:dyDescent="0.35">
      <c r="B23" s="1" t="s">
        <v>13</v>
      </c>
      <c r="C23" s="1" t="s">
        <v>84</v>
      </c>
      <c r="D23" s="1">
        <v>5</v>
      </c>
      <c r="E23" s="2" t="s">
        <v>56</v>
      </c>
      <c r="F23" s="1">
        <f>INDEX(tblCities[Code],MATCH(tblNarrative[[#This Row],[Entity]],tblCities[Entity],0))</f>
        <v>19</v>
      </c>
    </row>
    <row r="24" spans="2:6" ht="232" x14ac:dyDescent="0.35">
      <c r="B24" s="1" t="s">
        <v>24</v>
      </c>
      <c r="C24" s="1" t="s">
        <v>84</v>
      </c>
      <c r="D24" s="1">
        <v>5</v>
      </c>
      <c r="E24" s="2" t="s">
        <v>49</v>
      </c>
      <c r="F24" s="1">
        <f>INDEX(tblCities[Code],MATCH(tblNarrative[[#This Row],[Entity]],tblCities[Entity],0))</f>
        <v>20</v>
      </c>
    </row>
    <row r="25" spans="2:6" ht="130.5" x14ac:dyDescent="0.35">
      <c r="B25" s="1" t="s">
        <v>14</v>
      </c>
      <c r="C25" s="1" t="s">
        <v>84</v>
      </c>
      <c r="D25" s="1">
        <v>5</v>
      </c>
      <c r="E25" s="2" t="s">
        <v>57</v>
      </c>
      <c r="F25" s="1">
        <f>INDEX(tblCities[Code],MATCH(tblNarrative[[#This Row],[Entity]],tblCities[Entity],0))</f>
        <v>21</v>
      </c>
    </row>
    <row r="26" spans="2:6" ht="116" x14ac:dyDescent="0.35">
      <c r="B26" s="1" t="s">
        <v>25</v>
      </c>
      <c r="C26" s="1" t="s">
        <v>84</v>
      </c>
      <c r="D26" s="1">
        <v>5</v>
      </c>
      <c r="E26" s="2" t="s">
        <v>51</v>
      </c>
      <c r="F26" s="1">
        <f>INDEX(tblCities[Code],MATCH(tblNarrative[[#This Row],[Entity]],tblCities[Entity],0))</f>
        <v>22</v>
      </c>
    </row>
    <row r="27" spans="2:6" ht="203" x14ac:dyDescent="0.35">
      <c r="B27" s="1" t="s">
        <v>15</v>
      </c>
      <c r="C27" s="1" t="s">
        <v>84</v>
      </c>
      <c r="D27" s="1">
        <v>5</v>
      </c>
      <c r="E27" s="2" t="s">
        <v>59</v>
      </c>
      <c r="F27" s="1">
        <f>INDEX(tblCities[Code],MATCH(tblNarrative[[#This Row],[Entity]],tblCities[Entity],0))</f>
        <v>23</v>
      </c>
    </row>
    <row r="28" spans="2:6" ht="145" x14ac:dyDescent="0.35">
      <c r="B28" s="1" t="s">
        <v>26</v>
      </c>
      <c r="C28" s="1" t="s">
        <v>84</v>
      </c>
      <c r="D28" s="1">
        <v>5</v>
      </c>
      <c r="E28" s="2" t="s">
        <v>48</v>
      </c>
      <c r="F28" s="1">
        <f>INDEX(tblCities[Code],MATCH(tblNarrative[[#This Row],[Entity]],tblCities[Entity],0))</f>
        <v>24</v>
      </c>
    </row>
    <row r="29" spans="2:6" ht="72.5" x14ac:dyDescent="0.35">
      <c r="B29" s="1" t="s">
        <v>16</v>
      </c>
      <c r="C29" s="1" t="s">
        <v>84</v>
      </c>
      <c r="D29" s="1">
        <v>5</v>
      </c>
      <c r="E29" s="2" t="s">
        <v>58</v>
      </c>
      <c r="F29" s="1">
        <f>INDEX(tblCities[Code],MATCH(tblNarrative[[#This Row],[Entity]],tblCities[Entity],0))</f>
        <v>25</v>
      </c>
    </row>
    <row r="30" spans="2:6" ht="159.5" x14ac:dyDescent="0.35">
      <c r="B30" s="1" t="s">
        <v>27</v>
      </c>
      <c r="C30" s="1" t="s">
        <v>84</v>
      </c>
      <c r="D30" s="1">
        <v>5</v>
      </c>
      <c r="E30" s="2" t="s">
        <v>46</v>
      </c>
      <c r="F30" s="1">
        <f>INDEX(tblCities[Code],MATCH(tblNarrative[[#This Row],[Entity]],tblCities[Entity],0))</f>
        <v>26</v>
      </c>
    </row>
    <row r="31" spans="2:6" ht="188.5" x14ac:dyDescent="0.35">
      <c r="B31" s="1" t="s">
        <v>17</v>
      </c>
      <c r="C31" s="1" t="s">
        <v>84</v>
      </c>
      <c r="D31" s="1">
        <v>5</v>
      </c>
      <c r="E31" s="2" t="s">
        <v>55</v>
      </c>
      <c r="F31" s="1">
        <f>INDEX(tblCities[Code],MATCH(tblNarrative[[#This Row],[Entity]],tblCities[Entity],0))</f>
        <v>27</v>
      </c>
    </row>
    <row r="32" spans="2:6" ht="159.5" x14ac:dyDescent="0.35">
      <c r="B32" s="1" t="s">
        <v>28</v>
      </c>
      <c r="C32" s="1" t="s">
        <v>84</v>
      </c>
      <c r="D32" s="1">
        <v>5</v>
      </c>
      <c r="E32" s="2" t="s">
        <v>45</v>
      </c>
      <c r="F32" s="1">
        <f>INDEX(tblCities[Code],MATCH(tblNarrative[[#This Row],[Entity]],tblCities[Entity],0))</f>
        <v>28</v>
      </c>
    </row>
    <row r="33" spans="2:6" ht="188.5" x14ac:dyDescent="0.35">
      <c r="B33" s="1" t="s">
        <v>18</v>
      </c>
      <c r="C33" s="1" t="s">
        <v>84</v>
      </c>
      <c r="D33" s="1">
        <v>5</v>
      </c>
      <c r="E33" s="2" t="s">
        <v>52</v>
      </c>
      <c r="F33" s="1">
        <f>INDEX(tblCities[Code],MATCH(tblNarrative[[#This Row],[Entity]],tblCities[Entity],0))</f>
        <v>29</v>
      </c>
    </row>
    <row r="34" spans="2:6" ht="145" x14ac:dyDescent="0.35">
      <c r="B34" s="1" t="s">
        <v>29</v>
      </c>
      <c r="C34" s="1" t="s">
        <v>84</v>
      </c>
      <c r="D34" s="1">
        <v>5</v>
      </c>
      <c r="E34" s="2" t="s">
        <v>44</v>
      </c>
      <c r="F34" s="1">
        <f>INDEX(tblCities[Code],MATCH(tblNarrative[[#This Row],[Entity]],tblCities[Entity],0))</f>
        <v>30</v>
      </c>
    </row>
    <row r="35" spans="2:6" ht="116" x14ac:dyDescent="0.35">
      <c r="B35" s="1" t="s">
        <v>19</v>
      </c>
      <c r="C35" s="1" t="s">
        <v>84</v>
      </c>
      <c r="D35" s="1">
        <v>5</v>
      </c>
      <c r="E35" s="2" t="s">
        <v>60</v>
      </c>
      <c r="F35" s="1">
        <f>INDEX(tblCities[Code],MATCH(tblNarrative[[#This Row],[Entity]],tblCities[Entity],0))</f>
        <v>31</v>
      </c>
    </row>
    <row r="36" spans="2:6" ht="101.5" x14ac:dyDescent="0.35">
      <c r="B36" s="1" t="s">
        <v>30</v>
      </c>
      <c r="C36" s="1" t="s">
        <v>84</v>
      </c>
      <c r="D36" s="1">
        <v>5</v>
      </c>
      <c r="E36" s="2" t="s">
        <v>50</v>
      </c>
      <c r="F36" s="1">
        <f>INDEX(tblCities[Code],MATCH(tblNarrative[[#This Row],[Entity]],tblCities[Entity],0))</f>
        <v>32</v>
      </c>
    </row>
    <row r="37" spans="2:6" ht="130.5" x14ac:dyDescent="0.35">
      <c r="B37" s="1" t="s">
        <v>20</v>
      </c>
      <c r="C37" s="1" t="s">
        <v>84</v>
      </c>
      <c r="D37" s="1">
        <v>5</v>
      </c>
      <c r="E37" s="2" t="s">
        <v>54</v>
      </c>
      <c r="F37" s="1">
        <f>INDEX(tblCities[Code],MATCH(tblNarrative[[#This Row],[Entity]],tblCities[Entity],0))</f>
        <v>33</v>
      </c>
    </row>
    <row r="38" spans="2:6" ht="101.5" x14ac:dyDescent="0.35">
      <c r="B38" s="1" t="s">
        <v>31</v>
      </c>
      <c r="C38" s="1" t="s">
        <v>84</v>
      </c>
      <c r="D38" s="1">
        <v>5</v>
      </c>
      <c r="E38" s="2" t="s">
        <v>41</v>
      </c>
      <c r="F38" s="1">
        <f>INDEX(tblCities[Code],MATCH(tblNarrative[[#This Row],[Entity]],tblCities[Entity],0))</f>
        <v>34</v>
      </c>
    </row>
    <row r="39" spans="2:6" ht="203" x14ac:dyDescent="0.35">
      <c r="B39" s="1" t="s">
        <v>21</v>
      </c>
      <c r="C39" s="1" t="s">
        <v>84</v>
      </c>
      <c r="D39" s="1">
        <v>5</v>
      </c>
      <c r="E39" s="2" t="s">
        <v>53</v>
      </c>
      <c r="F39" s="1">
        <f>INDEX(tblCities[Code],MATCH(tblNarrative[[#This Row],[Entity]],tblCities[Entity],0))</f>
        <v>35</v>
      </c>
    </row>
    <row r="40" spans="2:6" ht="174" x14ac:dyDescent="0.35">
      <c r="B40" s="1" t="s">
        <v>32</v>
      </c>
      <c r="C40" s="1" t="s">
        <v>84</v>
      </c>
      <c r="D40" s="1">
        <v>5</v>
      </c>
      <c r="E40" s="2" t="s">
        <v>43</v>
      </c>
      <c r="F40" s="1">
        <f>INDEX(tblCities[Code],MATCH(tblNarrative[[#This Row],[Entity]],tblCities[Entity],0))</f>
        <v>36</v>
      </c>
    </row>
    <row r="41" spans="2:6" ht="101.5" x14ac:dyDescent="0.35">
      <c r="B41" s="1" t="s">
        <v>22</v>
      </c>
      <c r="C41" s="1" t="s">
        <v>84</v>
      </c>
      <c r="D41" s="1">
        <v>5</v>
      </c>
      <c r="E41" s="2" t="s">
        <v>61</v>
      </c>
      <c r="F41" s="1">
        <f>INDEX(tblCities[Code],MATCH(tblNarrative[[#This Row],[Entity]],tblCities[Entity],0))</f>
        <v>37</v>
      </c>
    </row>
    <row r="42" spans="2:6" ht="145" x14ac:dyDescent="0.35">
      <c r="B42" s="1" t="s">
        <v>23</v>
      </c>
      <c r="C42" s="1" t="s">
        <v>84</v>
      </c>
      <c r="D42" s="1">
        <v>5</v>
      </c>
      <c r="E42" s="2" t="s">
        <v>47</v>
      </c>
      <c r="F42" s="1">
        <f>INDEX(tblCities[Code],MATCH(tblNarrative[[#This Row],[Entity]],tblCities[Entity],0))</f>
        <v>38</v>
      </c>
    </row>
  </sheetData>
  <phoneticPr fontId="1" type="noConversion"/>
  <dataValidations count="2">
    <dataValidation type="list" allowBlank="1" showInputMessage="1" showErrorMessage="1" sqref="C4:C42" xr:uid="{3FF8DB4B-F4E6-44DD-B35D-2BAECC6F02B8}">
      <formula1>INDIRECT("tblFiscalYear[Fiscal Year]")</formula1>
    </dataValidation>
    <dataValidation type="list" allowBlank="1" showInputMessage="1" showErrorMessage="1" sqref="D4:D42" xr:uid="{DFEF72EA-6C8F-4238-A510-7256043B18B6}">
      <formula1>INDIRECT("tblPeriod[Period]")</formula1>
    </dataValidation>
  </dataValidations>
  <pageMargins left="0.7" right="0.7" top="0.75" bottom="0.75" header="0.3" footer="0.3"/>
  <tableParts count="1">
    <tablePart r:id="rId1"/>
  </tableParts>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A5F42AF-39AD-48F0-9E23-DC3A7DB233F6}">
  <sheetPr codeName="Sheet4"/>
  <dimension ref="B3:D17"/>
  <sheetViews>
    <sheetView workbookViewId="0">
      <selection activeCell="D3" sqref="D3:D17"/>
    </sheetView>
  </sheetViews>
  <sheetFormatPr defaultRowHeight="14.5" x14ac:dyDescent="0.35"/>
  <cols>
    <col min="2" max="2" width="11.6328125" customWidth="1"/>
  </cols>
  <sheetData>
    <row r="3" spans="2:4" x14ac:dyDescent="0.35">
      <c r="B3" t="s">
        <v>81</v>
      </c>
      <c r="D3" t="s">
        <v>82</v>
      </c>
    </row>
    <row r="4" spans="2:4" x14ac:dyDescent="0.35">
      <c r="B4" t="s">
        <v>83</v>
      </c>
      <c r="D4">
        <v>1</v>
      </c>
    </row>
    <row r="5" spans="2:4" x14ac:dyDescent="0.35">
      <c r="B5" t="s">
        <v>84</v>
      </c>
      <c r="D5">
        <v>2</v>
      </c>
    </row>
    <row r="6" spans="2:4" x14ac:dyDescent="0.35">
      <c r="D6">
        <v>3</v>
      </c>
    </row>
    <row r="7" spans="2:4" x14ac:dyDescent="0.35">
      <c r="D7">
        <v>4</v>
      </c>
    </row>
    <row r="8" spans="2:4" x14ac:dyDescent="0.35">
      <c r="D8">
        <v>5</v>
      </c>
    </row>
    <row r="9" spans="2:4" x14ac:dyDescent="0.35">
      <c r="D9">
        <v>6</v>
      </c>
    </row>
    <row r="10" spans="2:4" x14ac:dyDescent="0.35">
      <c r="D10">
        <v>7</v>
      </c>
    </row>
    <row r="11" spans="2:4" x14ac:dyDescent="0.35">
      <c r="D11">
        <v>8</v>
      </c>
    </row>
    <row r="12" spans="2:4" x14ac:dyDescent="0.35">
      <c r="D12">
        <v>9</v>
      </c>
    </row>
    <row r="13" spans="2:4" x14ac:dyDescent="0.35">
      <c r="D13">
        <v>10</v>
      </c>
    </row>
    <row r="14" spans="2:4" x14ac:dyDescent="0.35">
      <c r="D14">
        <v>11</v>
      </c>
    </row>
    <row r="15" spans="2:4" x14ac:dyDescent="0.35">
      <c r="D15">
        <v>12</v>
      </c>
    </row>
    <row r="16" spans="2:4" x14ac:dyDescent="0.35">
      <c r="D16">
        <v>13</v>
      </c>
    </row>
    <row r="17" spans="4:4" x14ac:dyDescent="0.35">
      <c r="D17">
        <v>14</v>
      </c>
    </row>
  </sheetData>
  <pageMargins left="0.7" right="0.7" top="0.75" bottom="0.75" header="0.3" footer="0.3"/>
  <tableParts count="2">
    <tablePart r:id="rId1"/>
    <tablePart r:id="rId2"/>
  </tableParts>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4</vt:i4>
      </vt:variant>
    </vt:vector>
  </HeadingPairs>
  <TitlesOfParts>
    <vt:vector size="4" baseType="lpstr">
      <vt:lpstr>Entity</vt:lpstr>
      <vt:lpstr>Layout</vt:lpstr>
      <vt:lpstr>Narrative</vt:lpstr>
      <vt:lpstr>Related Tables</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Powell, Simon</dc:creator>
  <cp:lastModifiedBy>Simon Powell</cp:lastModifiedBy>
  <dcterms:created xsi:type="dcterms:W3CDTF">2023-12-18T04:52:13Z</dcterms:created>
  <dcterms:modified xsi:type="dcterms:W3CDTF">2023-12-21T01:19:27Z</dcterms:modified>
</cp:coreProperties>
</file>